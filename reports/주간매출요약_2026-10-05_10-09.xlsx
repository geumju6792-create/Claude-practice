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매출요약" sheetId="1" state="visible" r:id="rId3"/>
  </sheets>
  <definedNames>
    <definedName function="false" hidden="false" localSheetId="0" name="_xlnm.Print_Area" vbProcedure="false">매출요약!$A$1:$F$43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<sst xmlns="http://schemas.openxmlformats.org/spreadsheetml/2006/main" count="63" uniqueCount="23">
  <si>
    <r>
      <rPr>
        <b val="true"/>
        <sz val="15"/>
        <color rgb="FF1F3864"/>
        <rFont val="WenQuanYi Zen Hei"/>
        <family val="2"/>
      </rPr>
      <t xml:space="preserve">주간 매출 요약 </t>
    </r>
    <r>
      <rPr>
        <b val="true"/>
        <sz val="15"/>
        <color rgb="FF1F3864"/>
        <rFont val="맑은 고딕"/>
        <family val="0"/>
        <charset val="1"/>
      </rPr>
      <t xml:space="preserve">(2026. 10/5(</t>
    </r>
    <r>
      <rPr>
        <b val="true"/>
        <sz val="15"/>
        <color rgb="FF1F3864"/>
        <rFont val="WenQuanYi Zen Hei"/>
        <family val="2"/>
      </rPr>
      <t xml:space="preserve">월</t>
    </r>
    <r>
      <rPr>
        <b val="true"/>
        <sz val="15"/>
        <color rgb="FF1F3864"/>
        <rFont val="맑은 고딕"/>
        <family val="0"/>
        <charset val="1"/>
      </rPr>
      <t xml:space="preserve">) ~ 10/9(</t>
    </r>
    <r>
      <rPr>
        <b val="true"/>
        <sz val="15"/>
        <color rgb="FF1F3864"/>
        <rFont val="WenQuanYi Zen Hei"/>
        <family val="2"/>
      </rPr>
      <t xml:space="preserve">금</t>
    </r>
    <r>
      <rPr>
        <b val="true"/>
        <sz val="15"/>
        <color rgb="FF1F3864"/>
        <rFont val="맑은 고딕"/>
        <family val="0"/>
        <charset val="1"/>
      </rPr>
      <t xml:space="preserve">))</t>
    </r>
  </si>
  <si>
    <r>
      <rPr>
        <sz val="9"/>
        <color rgb="FF7F7F7F"/>
        <rFont val="WenQuanYi Zen Hei"/>
        <family val="2"/>
      </rPr>
      <t xml:space="preserve">단위</t>
    </r>
    <r>
      <rPr>
        <sz val="9"/>
        <color rgb="FF7F7F7F"/>
        <rFont val="맑은 고딕"/>
        <family val="0"/>
        <charset val="1"/>
      </rPr>
      <t xml:space="preserve">: </t>
    </r>
    <r>
      <rPr>
        <sz val="9"/>
        <color rgb="FF7F7F7F"/>
        <rFont val="WenQuanYi Zen Hei"/>
        <family val="2"/>
      </rPr>
      <t xml:space="preserve">원</t>
    </r>
    <r>
      <rPr>
        <sz val="9"/>
        <color rgb="FF7F7F7F"/>
        <rFont val="맑은 고딕"/>
        <family val="0"/>
        <charset val="1"/>
      </rPr>
      <t xml:space="preserve">, </t>
    </r>
    <r>
      <rPr>
        <sz val="9"/>
        <color rgb="FF7F7F7F"/>
        <rFont val="WenQuanYi Zen Hei"/>
        <family val="2"/>
      </rPr>
      <t xml:space="preserve">개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WenQuanYi Zen Hei"/>
        <family val="2"/>
      </rPr>
      <t xml:space="preserve">자료</t>
    </r>
    <r>
      <rPr>
        <sz val="9"/>
        <color rgb="FF7F7F7F"/>
        <rFont val="맑은 고딕"/>
        <family val="0"/>
        <charset val="1"/>
      </rPr>
      <t xml:space="preserve">: </t>
    </r>
    <r>
      <rPr>
        <sz val="9"/>
        <color rgb="FF7F7F7F"/>
        <rFont val="WenQuanYi Zen Hei"/>
        <family val="2"/>
      </rPr>
      <t xml:space="preserve">주간보고서</t>
    </r>
    <r>
      <rPr>
        <sz val="9"/>
        <color rgb="FF7F7F7F"/>
        <rFont val="맑은 고딕"/>
        <family val="0"/>
        <charset val="1"/>
      </rPr>
      <t xml:space="preserve">_2026-10-05_10-09.xlsx '</t>
    </r>
    <r>
      <rPr>
        <sz val="9"/>
        <color rgb="FF7F7F7F"/>
        <rFont val="WenQuanYi Zen Hei"/>
        <family val="2"/>
      </rPr>
      <t xml:space="preserve">매출</t>
    </r>
    <r>
      <rPr>
        <sz val="9"/>
        <color rgb="FF7F7F7F"/>
        <rFont val="맑은 고딕"/>
        <family val="0"/>
        <charset val="1"/>
      </rPr>
      <t xml:space="preserve">' </t>
    </r>
    <r>
      <rPr>
        <sz val="9"/>
        <color rgb="FF7F7F7F"/>
        <rFont val="WenQuanYi Zen Hei"/>
        <family val="2"/>
      </rPr>
      <t xml:space="preserve">시트</t>
    </r>
  </si>
  <si>
    <t xml:space="preserve">핵심 요약</t>
  </si>
  <si>
    <r>
      <rPr>
        <b val="true"/>
        <sz val="11"/>
        <color rgb="FF1F3864"/>
        <rFont val="맑은 고딕"/>
        <family val="0"/>
        <charset val="1"/>
      </rPr>
      <t xml:space="preserve">1. </t>
    </r>
    <r>
      <rPr>
        <b val="true"/>
        <sz val="11"/>
        <color rgb="FF1F3864"/>
        <rFont val="WenQuanYi Zen Hei"/>
        <family val="2"/>
      </rPr>
      <t xml:space="preserve">상품별 매출</t>
    </r>
  </si>
  <si>
    <t xml:space="preserve">상품</t>
  </si>
  <si>
    <t xml:space="preserve">판매수량</t>
  </si>
  <si>
    <t xml:space="preserve">단가</t>
  </si>
  <si>
    <t xml:space="preserve">매출</t>
  </si>
  <si>
    <t xml:space="preserve">매출 비중</t>
  </si>
  <si>
    <t xml:space="preserve">커피 원두</t>
  </si>
  <si>
    <t xml:space="preserve">드립백</t>
  </si>
  <si>
    <t xml:space="preserve">머그컵</t>
  </si>
  <si>
    <t xml:space="preserve">합계</t>
  </si>
  <si>
    <r>
      <rPr>
        <b val="true"/>
        <sz val="11"/>
        <color rgb="FF1F3864"/>
        <rFont val="맑은 고딕"/>
        <family val="0"/>
        <charset val="1"/>
      </rPr>
      <t xml:space="preserve">2. </t>
    </r>
    <r>
      <rPr>
        <b val="true"/>
        <sz val="11"/>
        <color rgb="FF1F3864"/>
        <rFont val="WenQuanYi Zen Hei"/>
        <family val="2"/>
      </rPr>
      <t xml:space="preserve">일자별 매출</t>
    </r>
  </si>
  <si>
    <t xml:space="preserve">날짜</t>
  </si>
  <si>
    <t xml:space="preserve">일 합계</t>
  </si>
  <si>
    <r>
      <rPr>
        <sz val="10"/>
        <rFont val="맑은 고딕"/>
        <family val="0"/>
        <charset val="1"/>
      </rPr>
      <t xml:space="preserve">10/5(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</si>
  <si>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10/6(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</si>
  <si>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10/7(</t>
    </r>
    <r>
      <rPr>
        <sz val="10"/>
        <rFont val="WenQuanYi Zen Hei"/>
        <family val="2"/>
      </rPr>
      <t xml:space="preserve">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</si>
  <si>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10/8(</t>
    </r>
    <r>
      <rPr>
        <sz val="10"/>
        <rFont val="WenQuanYi Zen Hei"/>
        <family val="2"/>
      </rPr>
      <t xml:space="preserve">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</si>
  <si>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10/9(</t>
    </r>
    <r>
      <rPr>
        <sz val="10"/>
        <rFont val="WenQuanYi Zen Hei"/>
        <family val="2"/>
      </rPr>
      <t xml:space="preserve">금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</si>
  <si>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3. </t>
    </r>
    <r>
      <rPr>
        <b val="true"/>
        <sz val="11"/>
        <color rgb="FF1F3864"/>
        <rFont val="WenQuanYi Zen Hei"/>
        <family val="2"/>
      </rPr>
      <t xml:space="preserve">원자료</t>
    </r>
  </si>
  <si>
    <t xml:space="preserve">수량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</si>
</sst>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WenQuanYi Zen Hei"/>
      <family val="2"/>
    </font>
    <font>
      <b val="true"/>
      <sz val="15"/>
      <color rgb="FF1F3864"/>
      <name val="맑은 고딕"/>
      <family val="0"/>
      <charset val="1"/>
    </font>
    <font>
      <sz val="9"/>
      <color rgb="FF7F7F7F"/>
      <name val="WenQuanYi Zen Hei"/>
      <family val="2"/>
    </font>
    <font>
      <sz val="9"/>
      <color rgb="FF7F7F7F"/>
      <name val="맑은 고딕"/>
      <family val="0"/>
      <charset val="1"/>
    </font>
    <font>
      <b val="true"/>
      <sz val="11"/>
      <color rgb="FF1F3864"/>
      <name val="WenQuanYi Zen Hei"/>
      <family val="2"/>
    </font>
    <font>
      <b val="true"/>
      <sz val="11"/>
      <name val="WenQuanYi Zen Hei"/>
      <family val="2"/>
    </font>
    <font>
      <b val="true"/>
      <sz val="11"/>
      <color rgb="FF1F3864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WenQuanYi Zen Hei"/>
      <family val="2"/>
    </font>
    <font>
      <b val="true"/>
      <sz val="10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F5496"/>
        <bgColor rgb="FF1F3864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3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1.75" hidden="false" customHeight="true" outlineLevel="0" collapsed="false">
      <c r="A5" s="4" t="str">
        <f aca="false">"① 주간 총매출 "&amp;TEXT(D14,"#,##0")&amp;"원 — 판매 "&amp;TEXT(B14,"#,##0")&amp;"개, 일평균 "&amp;TEXT(E23/COUNT(E18:E22),"#,##0")&amp;"원"</f>
        <v>① 주간 총매출 4,368,000원 — 판매 322개, 일평균 873,600원</v>
      </c>
      <c r="B5" s="4"/>
      <c r="C5" s="4"/>
      <c r="D5" s="4"/>
      <c r="E5" s="4"/>
      <c r="F5" s="4"/>
    </row>
    <row r="6" customFormat="false" ht="21.75" hidden="false" customHeight="true" outlineLevel="0" collapsed="false">
      <c r="A6" s="4" t="str">
        <f aca="false">"② 매출 1위 "&amp;INDEX(A11:A13,MATCH(MAX(D11:D13),D11:D13,0))&amp;" "&amp;TEXT(MAX(D11:D13),"#,##0")&amp;"원 (전체의 "&amp;TEXT(MAX(E11:E13),"0.0%")&amp;")"</f>
        <v>② 매출 1위 커피 원두 2,268,000원 (전체의 51.9%)</v>
      </c>
      <c r="B6" s="4"/>
      <c r="C6" s="4"/>
      <c r="D6" s="4"/>
      <c r="E6" s="4"/>
      <c r="F6" s="4"/>
    </row>
    <row r="7" customFormat="false" ht="21.75" hidden="false" customHeight="true" outlineLevel="0" collapsed="false">
      <c r="A7" s="4" t="str">
        <f aca="false">"③ 일 매출 최고 "&amp;INDEX(A18:A22,MATCH(MAX(E18:E22),E18:E22,0))&amp;" "&amp;TEXT(MAX(E18:E22),"#,##0")&amp;"원 / 최저 "&amp;INDEX(A18:A22,MATCH(MIN(E18:E22),E18:E22,0))&amp;" "&amp;TEXT(MIN(E18:E22),"#,##0")&amp;"원 ("&amp;TEXT(MAX(E18:E22)/MIN(E18:E22),"0.0")&amp;"배)"</f>
        <v>③ 일 매출 최고 10/7(수) 1,137,000원 / 최저 10/6(화) 474,000원 (2.4배)</v>
      </c>
      <c r="B7" s="4"/>
      <c r="C7" s="4"/>
      <c r="D7" s="4"/>
      <c r="E7" s="4"/>
      <c r="F7" s="4"/>
    </row>
    <row r="9" customFormat="false" ht="15" hidden="false" customHeight="false" outlineLevel="0" collapsed="false">
      <c r="A9" s="5" t="s">
        <v>3</v>
      </c>
    </row>
    <row r="10" customFormat="false" ht="15" hidden="false" customHeight="false" outlineLevel="0" collapsed="false">
      <c r="A10" s="6" t="s">
        <v>4</v>
      </c>
      <c r="B10" s="6" t="s">
        <v>5</v>
      </c>
      <c r="C10" s="6" t="s">
        <v>6</v>
      </c>
      <c r="D10" s="6" t="s">
        <v>7</v>
      </c>
      <c r="E10" s="6" t="s">
        <v>8</v>
      </c>
    </row>
    <row r="11" customFormat="false" ht="15" hidden="false" customHeight="false" outlineLevel="0" collapsed="false">
      <c r="A11" s="7" t="s">
        <v>9</v>
      </c>
      <c r="B11" s="8" t="n">
        <f aca="false">SUMIF($B$28:$B$42,A11,$C$28:$C$42)</f>
        <v>126</v>
      </c>
      <c r="C11" s="8" t="n">
        <f aca="false">IF(B11=0,0,D11/B11)</f>
        <v>18000</v>
      </c>
      <c r="D11" s="8" t="n">
        <f aca="false">SUMIF($B$28:$B$42,A11,$E$28:$E$42)</f>
        <v>2268000</v>
      </c>
      <c r="E11" s="9" t="n">
        <f aca="false">IF($D$14=0,0,D11/$D$14)</f>
        <v>0.519230769230769</v>
      </c>
    </row>
    <row r="12" customFormat="false" ht="15" hidden="false" customHeight="false" outlineLevel="0" collapsed="false">
      <c r="A12" s="7" t="s">
        <v>10</v>
      </c>
      <c r="B12" s="8" t="n">
        <f aca="false">SUMIF($B$28:$B$42,A12,$C$28:$C$42)</f>
        <v>84</v>
      </c>
      <c r="C12" s="8" t="n">
        <f aca="false">IF(B12=0,0,D12/B12)</f>
        <v>9000</v>
      </c>
      <c r="D12" s="8" t="n">
        <f aca="false">SUMIF($B$28:$B$42,A12,$E$28:$E$42)</f>
        <v>756000</v>
      </c>
      <c r="E12" s="9" t="n">
        <f aca="false">IF($D$14=0,0,D12/$D$14)</f>
        <v>0.173076923076923</v>
      </c>
    </row>
    <row r="13" customFormat="false" ht="15" hidden="false" customHeight="false" outlineLevel="0" collapsed="false">
      <c r="A13" s="7" t="s">
        <v>11</v>
      </c>
      <c r="B13" s="8" t="n">
        <f aca="false">SUMIF($B$28:$B$42,A13,$C$28:$C$42)</f>
        <v>112</v>
      </c>
      <c r="C13" s="8" t="n">
        <f aca="false">IF(B13=0,0,D13/B13)</f>
        <v>12000</v>
      </c>
      <c r="D13" s="8" t="n">
        <f aca="false">SUMIF($B$28:$B$42,A13,$E$28:$E$42)</f>
        <v>1344000</v>
      </c>
      <c r="E13" s="9" t="n">
        <f aca="false">IF($D$14=0,0,D13/$D$14)</f>
        <v>0.307692307692308</v>
      </c>
    </row>
    <row r="14" customFormat="false" ht="15" hidden="false" customHeight="false" outlineLevel="0" collapsed="false">
      <c r="A14" s="10" t="s">
        <v>12</v>
      </c>
      <c r="B14" s="11" t="n">
        <f aca="false">SUM(B11:B13)</f>
        <v>322</v>
      </c>
      <c r="C14" s="12"/>
      <c r="D14" s="11" t="n">
        <f aca="false">SUM(D11:D13)</f>
        <v>4368000</v>
      </c>
      <c r="E14" s="13" t="n">
        <f aca="false">SUM(E11:E13)</f>
        <v>1</v>
      </c>
    </row>
    <row r="16" customFormat="false" ht="15" hidden="false" customHeight="false" outlineLevel="0" collapsed="false">
      <c r="A16" s="5" t="s">
        <v>13</v>
      </c>
    </row>
    <row r="17" customFormat="false" ht="15" hidden="false" customHeight="false" outlineLevel="0" collapsed="false">
      <c r="A17" s="6" t="s">
        <v>14</v>
      </c>
      <c r="B17" s="6" t="s">
        <v>9</v>
      </c>
      <c r="C17" s="6" t="s">
        <v>10</v>
      </c>
      <c r="D17" s="6" t="s">
        <v>11</v>
      </c>
      <c r="E17" s="6" t="s">
        <v>15</v>
      </c>
      <c r="F17" s="6" t="s">
        <v>5</v>
      </c>
    </row>
    <row r="18" customFormat="false" ht="15" hidden="false" customHeight="false" outlineLevel="0" collapsed="false">
      <c r="A18" s="14" t="s">
        <v>16</v>
      </c>
      <c r="B18" s="8" t="n">
        <f aca="false">SUMIFS($E$28:$E$42,$A$28:$A$42,$A18,$B$28:$B$42,B$17)</f>
        <v>504000</v>
      </c>
      <c r="C18" s="8" t="n">
        <f aca="false">SUMIFS($E$28:$E$42,$A$28:$A$42,$A18,$B$28:$B$42,C$17)</f>
        <v>153000</v>
      </c>
      <c r="D18" s="8" t="n">
        <f aca="false">SUMIFS($E$28:$E$42,$A$28:$A$42,$A18,$B$28:$B$42,D$17)</f>
        <v>396000</v>
      </c>
      <c r="E18" s="8" t="n">
        <f aca="false">SUM(B18:D18)</f>
        <v>1053000</v>
      </c>
      <c r="F18" s="8" t="n">
        <f aca="false">SUMIF($A$28:$A$42,A18,$C$28:$C$42)</f>
        <v>78</v>
      </c>
    </row>
    <row r="19" customFormat="false" ht="15" hidden="false" customHeight="false" outlineLevel="0" collapsed="false">
      <c r="A19" s="14" t="s">
        <v>17</v>
      </c>
      <c r="B19" s="8" t="n">
        <f aca="false">SUMIFS($E$28:$E$42,$A$28:$A$42,$A19,$B$28:$B$42,B$17)</f>
        <v>198000</v>
      </c>
      <c r="C19" s="8" t="n">
        <f aca="false">SUMIFS($E$28:$E$42,$A$28:$A$42,$A19,$B$28:$B$42,C$17)</f>
        <v>108000</v>
      </c>
      <c r="D19" s="8" t="n">
        <f aca="false">SUMIFS($E$28:$E$42,$A$28:$A$42,$A19,$B$28:$B$42,D$17)</f>
        <v>168000</v>
      </c>
      <c r="E19" s="8" t="n">
        <f aca="false">SUM(B19:D19)</f>
        <v>474000</v>
      </c>
      <c r="F19" s="8" t="n">
        <f aca="false">SUMIF($A$28:$A$42,A19,$C$28:$C$42)</f>
        <v>37</v>
      </c>
    </row>
    <row r="20" customFormat="false" ht="15" hidden="false" customHeight="false" outlineLevel="0" collapsed="false">
      <c r="A20" s="14" t="s">
        <v>18</v>
      </c>
      <c r="B20" s="8" t="n">
        <f aca="false">SUMIFS($E$28:$E$42,$A$28:$A$42,$A20,$B$28:$B$42,B$17)</f>
        <v>558000</v>
      </c>
      <c r="C20" s="8" t="n">
        <f aca="false">SUMIFS($E$28:$E$42,$A$28:$A$42,$A20,$B$28:$B$42,C$17)</f>
        <v>99000</v>
      </c>
      <c r="D20" s="8" t="n">
        <f aca="false">SUMIFS($E$28:$E$42,$A$28:$A$42,$A20,$B$28:$B$42,D$17)</f>
        <v>480000</v>
      </c>
      <c r="E20" s="8" t="n">
        <f aca="false">SUM(B20:D20)</f>
        <v>1137000</v>
      </c>
      <c r="F20" s="8" t="n">
        <f aca="false">SUMIF($A$28:$A$42,A20,$C$28:$C$42)</f>
        <v>82</v>
      </c>
    </row>
    <row r="21" customFormat="false" ht="15" hidden="false" customHeight="false" outlineLevel="0" collapsed="false">
      <c r="A21" s="14" t="s">
        <v>19</v>
      </c>
      <c r="B21" s="8" t="n">
        <f aca="false">SUMIFS($E$28:$E$42,$A$28:$A$42,$A21,$B$28:$B$42,B$17)</f>
        <v>378000</v>
      </c>
      <c r="C21" s="8" t="n">
        <f aca="false">SUMIFS($E$28:$E$42,$A$28:$A$42,$A21,$B$28:$B$42,C$17)</f>
        <v>90000</v>
      </c>
      <c r="D21" s="8" t="n">
        <f aca="false">SUMIFS($E$28:$E$42,$A$28:$A$42,$A21,$B$28:$B$42,D$17)</f>
        <v>156000</v>
      </c>
      <c r="E21" s="8" t="n">
        <f aca="false">SUM(B21:D21)</f>
        <v>624000</v>
      </c>
      <c r="F21" s="8" t="n">
        <f aca="false">SUMIF($A$28:$A$42,A21,$C$28:$C$42)</f>
        <v>44</v>
      </c>
    </row>
    <row r="22" customFormat="false" ht="15" hidden="false" customHeight="false" outlineLevel="0" collapsed="false">
      <c r="A22" s="14" t="s">
        <v>20</v>
      </c>
      <c r="B22" s="8" t="n">
        <f aca="false">SUMIFS($E$28:$E$42,$A$28:$A$42,$A22,$B$28:$B$42,B$17)</f>
        <v>630000</v>
      </c>
      <c r="C22" s="8" t="n">
        <f aca="false">SUMIFS($E$28:$E$42,$A$28:$A$42,$A22,$B$28:$B$42,C$17)</f>
        <v>306000</v>
      </c>
      <c r="D22" s="8" t="n">
        <f aca="false">SUMIFS($E$28:$E$42,$A$28:$A$42,$A22,$B$28:$B$42,D$17)</f>
        <v>144000</v>
      </c>
      <c r="E22" s="8" t="n">
        <f aca="false">SUM(B22:D22)</f>
        <v>1080000</v>
      </c>
      <c r="F22" s="8" t="n">
        <f aca="false">SUMIF($A$28:$A$42,A22,$C$28:$C$42)</f>
        <v>81</v>
      </c>
    </row>
    <row r="23" customFormat="false" ht="15" hidden="false" customHeight="false" outlineLevel="0" collapsed="false">
      <c r="A23" s="10" t="s">
        <v>12</v>
      </c>
      <c r="B23" s="11" t="n">
        <f aca="false">SUM(B18:B22)</f>
        <v>2268000</v>
      </c>
      <c r="C23" s="11" t="n">
        <f aca="false">SUM(C18:C22)</f>
        <v>756000</v>
      </c>
      <c r="D23" s="11" t="n">
        <f aca="false">SUM(D18:D22)</f>
        <v>1344000</v>
      </c>
      <c r="E23" s="11" t="n">
        <f aca="false">SUM(E18:E22)</f>
        <v>4368000</v>
      </c>
      <c r="F23" s="11" t="n">
        <f aca="false">SUM(F18:F22)</f>
        <v>322</v>
      </c>
    </row>
    <row r="24" customFormat="false" ht="15" hidden="false" customHeight="false" outlineLevel="0" collapsed="false">
      <c r="A24" s="2" t="str">
        <f aca="false">IF(AND(D14=E23,E23=E43),"✔ 검산: 상품별·일자별·원자료 합계 일치","✘ 검산: 합계 불일치 — 확인 필요")</f>
        <v>✔ 검산: 상품별·일자별·원자료 합계 일치</v>
      </c>
    </row>
    <row r="26" customFormat="false" ht="15" hidden="false" customHeight="false" outlineLevel="0" collapsed="false">
      <c r="A26" s="5" t="s">
        <v>21</v>
      </c>
    </row>
    <row r="27" customFormat="false" ht="15" hidden="false" customHeight="false" outlineLevel="0" collapsed="false">
      <c r="A27" s="6" t="s">
        <v>14</v>
      </c>
      <c r="B27" s="6" t="s">
        <v>4</v>
      </c>
      <c r="C27" s="6" t="s">
        <v>22</v>
      </c>
      <c r="D27" s="6" t="s">
        <v>6</v>
      </c>
      <c r="E27" s="6" t="s">
        <v>7</v>
      </c>
    </row>
    <row r="28" customFormat="false" ht="15" hidden="false" customHeight="false" outlineLevel="0" collapsed="false">
      <c r="A28" s="14" t="s">
        <v>16</v>
      </c>
      <c r="B28" s="7" t="s">
        <v>9</v>
      </c>
      <c r="C28" s="8" t="n">
        <v>28</v>
      </c>
      <c r="D28" s="8" t="n">
        <v>18000</v>
      </c>
      <c r="E28" s="8" t="n">
        <f aca="false">C28*D28</f>
        <v>504000</v>
      </c>
    </row>
    <row r="29" customFormat="false" ht="15" hidden="false" customHeight="false" outlineLevel="0" collapsed="false">
      <c r="A29" s="14" t="s">
        <v>16</v>
      </c>
      <c r="B29" s="7" t="s">
        <v>10</v>
      </c>
      <c r="C29" s="8" t="n">
        <v>17</v>
      </c>
      <c r="D29" s="8" t="n">
        <v>9000</v>
      </c>
      <c r="E29" s="8" t="n">
        <f aca="false">C29*D29</f>
        <v>153000</v>
      </c>
    </row>
    <row r="30" customFormat="false" ht="15" hidden="false" customHeight="false" outlineLevel="0" collapsed="false">
      <c r="A30" s="14" t="s">
        <v>16</v>
      </c>
      <c r="B30" s="7" t="s">
        <v>11</v>
      </c>
      <c r="C30" s="8" t="n">
        <v>33</v>
      </c>
      <c r="D30" s="8" t="n">
        <v>12000</v>
      </c>
      <c r="E30" s="8" t="n">
        <f aca="false">C30*D30</f>
        <v>396000</v>
      </c>
    </row>
    <row r="31" customFormat="false" ht="15" hidden="false" customHeight="false" outlineLevel="0" collapsed="false">
      <c r="A31" s="14" t="s">
        <v>17</v>
      </c>
      <c r="B31" s="7" t="s">
        <v>9</v>
      </c>
      <c r="C31" s="8" t="n">
        <v>11</v>
      </c>
      <c r="D31" s="8" t="n">
        <v>18000</v>
      </c>
      <c r="E31" s="8" t="n">
        <f aca="false">C31*D31</f>
        <v>198000</v>
      </c>
    </row>
    <row r="32" customFormat="false" ht="15" hidden="false" customHeight="false" outlineLevel="0" collapsed="false">
      <c r="A32" s="14" t="s">
        <v>17</v>
      </c>
      <c r="B32" s="7" t="s">
        <v>10</v>
      </c>
      <c r="C32" s="8" t="n">
        <v>12</v>
      </c>
      <c r="D32" s="8" t="n">
        <v>9000</v>
      </c>
      <c r="E32" s="8" t="n">
        <f aca="false">C32*D32</f>
        <v>108000</v>
      </c>
    </row>
    <row r="33" customFormat="false" ht="15" hidden="false" customHeight="false" outlineLevel="0" collapsed="false">
      <c r="A33" s="14" t="s">
        <v>17</v>
      </c>
      <c r="B33" s="7" t="s">
        <v>11</v>
      </c>
      <c r="C33" s="8" t="n">
        <v>14</v>
      </c>
      <c r="D33" s="8" t="n">
        <v>12000</v>
      </c>
      <c r="E33" s="8" t="n">
        <f aca="false">C33*D33</f>
        <v>168000</v>
      </c>
    </row>
    <row r="34" customFormat="false" ht="15" hidden="false" customHeight="false" outlineLevel="0" collapsed="false">
      <c r="A34" s="14" t="s">
        <v>18</v>
      </c>
      <c r="B34" s="7" t="s">
        <v>9</v>
      </c>
      <c r="C34" s="8" t="n">
        <v>31</v>
      </c>
      <c r="D34" s="8" t="n">
        <v>18000</v>
      </c>
      <c r="E34" s="8" t="n">
        <f aca="false">C34*D34</f>
        <v>558000</v>
      </c>
    </row>
    <row r="35" customFormat="false" ht="15" hidden="false" customHeight="false" outlineLevel="0" collapsed="false">
      <c r="A35" s="14" t="s">
        <v>18</v>
      </c>
      <c r="B35" s="7" t="s">
        <v>10</v>
      </c>
      <c r="C35" s="8" t="n">
        <v>11</v>
      </c>
      <c r="D35" s="8" t="n">
        <v>9000</v>
      </c>
      <c r="E35" s="8" t="n">
        <f aca="false">C35*D35</f>
        <v>99000</v>
      </c>
    </row>
    <row r="36" customFormat="false" ht="15" hidden="false" customHeight="false" outlineLevel="0" collapsed="false">
      <c r="A36" s="14" t="s">
        <v>18</v>
      </c>
      <c r="B36" s="7" t="s">
        <v>11</v>
      </c>
      <c r="C36" s="8" t="n">
        <v>40</v>
      </c>
      <c r="D36" s="8" t="n">
        <v>12000</v>
      </c>
      <c r="E36" s="8" t="n">
        <f aca="false">C36*D36</f>
        <v>480000</v>
      </c>
    </row>
    <row r="37" customFormat="false" ht="15" hidden="false" customHeight="false" outlineLevel="0" collapsed="false">
      <c r="A37" s="14" t="s">
        <v>19</v>
      </c>
      <c r="B37" s="7" t="s">
        <v>9</v>
      </c>
      <c r="C37" s="8" t="n">
        <v>21</v>
      </c>
      <c r="D37" s="8" t="n">
        <v>18000</v>
      </c>
      <c r="E37" s="8" t="n">
        <f aca="false">C37*D37</f>
        <v>378000</v>
      </c>
    </row>
    <row r="38" customFormat="false" ht="15" hidden="false" customHeight="false" outlineLevel="0" collapsed="false">
      <c r="A38" s="14" t="s">
        <v>19</v>
      </c>
      <c r="B38" s="7" t="s">
        <v>10</v>
      </c>
      <c r="C38" s="8" t="n">
        <v>10</v>
      </c>
      <c r="D38" s="8" t="n">
        <v>9000</v>
      </c>
      <c r="E38" s="8" t="n">
        <f aca="false">C38*D38</f>
        <v>90000</v>
      </c>
    </row>
    <row r="39" customFormat="false" ht="15" hidden="false" customHeight="false" outlineLevel="0" collapsed="false">
      <c r="A39" s="14" t="s">
        <v>19</v>
      </c>
      <c r="B39" s="7" t="s">
        <v>11</v>
      </c>
      <c r="C39" s="8" t="n">
        <v>13</v>
      </c>
      <c r="D39" s="8" t="n">
        <v>12000</v>
      </c>
      <c r="E39" s="8" t="n">
        <f aca="false">C39*D39</f>
        <v>156000</v>
      </c>
    </row>
    <row r="40" customFormat="false" ht="15" hidden="false" customHeight="false" outlineLevel="0" collapsed="false">
      <c r="A40" s="14" t="s">
        <v>20</v>
      </c>
      <c r="B40" s="7" t="s">
        <v>9</v>
      </c>
      <c r="C40" s="8" t="n">
        <v>35</v>
      </c>
      <c r="D40" s="8" t="n">
        <v>18000</v>
      </c>
      <c r="E40" s="8" t="n">
        <f aca="false">C40*D40</f>
        <v>630000</v>
      </c>
    </row>
    <row r="41" customFormat="false" ht="15" hidden="false" customHeight="false" outlineLevel="0" collapsed="false">
      <c r="A41" s="14" t="s">
        <v>20</v>
      </c>
      <c r="B41" s="7" t="s">
        <v>10</v>
      </c>
      <c r="C41" s="8" t="n">
        <v>34</v>
      </c>
      <c r="D41" s="8" t="n">
        <v>9000</v>
      </c>
      <c r="E41" s="8" t="n">
        <f aca="false">C41*D41</f>
        <v>306000</v>
      </c>
    </row>
    <row r="42" customFormat="false" ht="15" hidden="false" customHeight="false" outlineLevel="0" collapsed="false">
      <c r="A42" s="14" t="s">
        <v>20</v>
      </c>
      <c r="B42" s="7" t="s">
        <v>11</v>
      </c>
      <c r="C42" s="8" t="n">
        <v>12</v>
      </c>
      <c r="D42" s="8" t="n">
        <v>12000</v>
      </c>
      <c r="E42" s="8" t="n">
        <f aca="false">C42*D42</f>
        <v>144000</v>
      </c>
    </row>
    <row r="43" customFormat="false" ht="15" hidden="false" customHeight="false" outlineLevel="0" collapsed="false">
      <c r="A43" s="10" t="s">
        <v>12</v>
      </c>
      <c r="B43" s="12"/>
      <c r="C43" s="11" t="n">
        <f aca="false">SUM(C28:C42)</f>
        <v>322</v>
      </c>
      <c r="D43" s="12"/>
      <c r="E43" s="11" t="n">
        <f aca="false">SUM(E28:E42)</f>
        <v>4368000</v>
      </c>
    </row>
  </sheetData>
  <mergeCells count="3">
    <mergeCell ref="A5:F5"/>
    <mergeCell ref="A6:F6"/>
    <mergeCell ref="A7:F7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2026-10-20T05:25:28Z</dcterms:created>
  <dc:creator>openpyxl</dc:creator>
  <dc:description/>
  <dc:language>en-US</dc:language>
  <cp:lastModifiedBy/>
  <dcterms:modified xsi:type="dcterms:W3CDTF">2026-10-20T05:25:28Z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