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매출" sheetId="2" state="visible" r:id="rId4"/>
    <sheet name="고객문의" sheetId="3" state="visible" r:id="rId5"/>
    <sheet name="업무현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<sst xmlns="http://schemas.openxmlformats.org/spreadsheetml/2006/main" count="179" uniqueCount="73">
  <si>
    <t xml:space="preserve">주간 업무 보고서</t>
  </si>
  <si>
    <r>
      <rPr>
        <sz val="10"/>
        <color rgb="FF595959"/>
        <rFont val="WenQuanYi Zen Hei"/>
        <family val="2"/>
      </rPr>
      <t xml:space="preserve">보고 기간</t>
    </r>
    <r>
      <rPr>
        <sz val="10"/>
        <color rgb="FF595959"/>
        <rFont val="맑은 고딕"/>
        <family val="0"/>
        <charset val="1"/>
      </rPr>
      <t xml:space="preserve">: 2026</t>
    </r>
    <r>
      <rPr>
        <sz val="10"/>
        <color rgb="FF595959"/>
        <rFont val="WenQuanYi Zen Hei"/>
        <family val="2"/>
      </rPr>
      <t xml:space="preserve">년 </t>
    </r>
    <r>
      <rPr>
        <sz val="10"/>
        <color rgb="FF595959"/>
        <rFont val="맑은 고딕"/>
        <family val="0"/>
        <charset val="1"/>
      </rPr>
      <t xml:space="preserve">10/5(</t>
    </r>
    <r>
      <rPr>
        <sz val="10"/>
        <color rgb="FF595959"/>
        <rFont val="WenQuanYi Zen Hei"/>
        <family val="2"/>
      </rPr>
      <t xml:space="preserve">월</t>
    </r>
    <r>
      <rPr>
        <sz val="10"/>
        <color rgb="FF595959"/>
        <rFont val="맑은 고딕"/>
        <family val="0"/>
        <charset val="1"/>
      </rPr>
      <t xml:space="preserve">) ~ 10/9(</t>
    </r>
    <r>
      <rPr>
        <sz val="10"/>
        <color rgb="FF595959"/>
        <rFont val="WenQuanYi Zen Hei"/>
        <family val="2"/>
      </rPr>
      <t xml:space="preserve">금</t>
    </r>
    <r>
      <rPr>
        <sz val="10"/>
        <color rgb="FF595959"/>
        <rFont val="맑은 고딕"/>
        <family val="0"/>
        <charset val="1"/>
      </rPr>
      <t xml:space="preserve">)</t>
    </r>
  </si>
  <si>
    <t xml:space="preserve">■ 매출</t>
  </si>
  <si>
    <t xml:space="preserve">주간 총매출</t>
  </si>
  <si>
    <t xml:space="preserve">총 판매수량</t>
  </si>
  <si>
    <t xml:space="preserve">일평균 매출</t>
  </si>
  <si>
    <t xml:space="preserve">최고 매출일</t>
  </si>
  <si>
    <t xml:space="preserve">최고 매출일 매출</t>
  </si>
  <si>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상품</t>
    </r>
  </si>
  <si>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상품 비중</t>
    </r>
  </si>
  <si>
    <r>
      <rPr>
        <b val="true"/>
        <sz val="12"/>
        <color rgb="FF1F3864"/>
        <rFont val="WenQuanYi Zen Hei"/>
        <family val="2"/>
      </rPr>
      <t xml:space="preserve">■ 고객문의</t>
    </r>
    <r>
      <rPr>
        <b val="true"/>
        <sz val="12"/>
        <color rgb="FF1F3864"/>
        <rFont val="맑은 고딕"/>
        <family val="0"/>
        <charset val="1"/>
      </rPr>
      <t xml:space="preserve">(CS)</t>
    </r>
  </si>
  <si>
    <t xml:space="preserve">총 접수</t>
  </si>
  <si>
    <t xml:space="preserve">처리 완료</t>
  </si>
  <si>
    <t xml:space="preserve">미처리</t>
  </si>
  <si>
    <t xml:space="preserve">처리율</t>
  </si>
  <si>
    <t xml:space="preserve">최다 접수 유형</t>
  </si>
  <si>
    <t xml:space="preserve">처리율 최저 유형</t>
  </si>
  <si>
    <t xml:space="preserve">■ 업무</t>
  </si>
  <si>
    <t xml:space="preserve">전체 업무</t>
  </si>
  <si>
    <r>
      <rPr>
        <b val="true"/>
        <sz val="10"/>
        <rFont val="WenQuanYi Zen Hei"/>
        <family val="2"/>
      </rPr>
      <t xml:space="preserve">완료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진행 중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대기</t>
    </r>
  </si>
  <si>
    <t xml:space="preserve">완료율</t>
  </si>
  <si>
    <t xml:space="preserve">■ 주요 이슈 및 차주 계획</t>
  </si>
  <si>
    <r>
      <rPr>
        <sz val="10"/>
        <rFont val="WenQuanYi Zen Hei"/>
        <family val="2"/>
      </rPr>
      <t xml:space="preserve">• 매출</t>
    </r>
    <r>
      <rPr>
        <sz val="10"/>
        <rFont val="맑은 고딕"/>
        <family val="0"/>
        <charset val="1"/>
      </rPr>
      <t xml:space="preserve">: 10/7(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매출 최고</t>
    </r>
    <r>
      <rPr>
        <sz val="10"/>
        <rFont val="맑은 고딕"/>
        <family val="0"/>
        <charset val="1"/>
      </rPr>
      <t xml:space="preserve">(1,137,000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), 10/6(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최저</t>
    </r>
    <r>
      <rPr>
        <sz val="10"/>
        <rFont val="맑은 고딕"/>
        <family val="0"/>
        <charset val="1"/>
      </rPr>
      <t xml:space="preserve">(474,000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요일별 편차가 커 프로모션 시점 점검 필요</t>
    </r>
  </si>
  <si>
    <r>
      <rPr>
        <sz val="10"/>
        <rFont val="맑은 고딕"/>
        <family val="0"/>
        <charset val="1"/>
      </rPr>
      <t xml:space="preserve">• CS: '</t>
    </r>
    <r>
      <rPr>
        <sz val="10"/>
        <rFont val="WenQuanYi Zen Hei"/>
        <family val="2"/>
      </rPr>
      <t xml:space="preserve">결제 오류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처리율 </t>
    </r>
    <r>
      <rPr>
        <sz val="10"/>
        <rFont val="맑은 고딕"/>
        <family val="0"/>
        <charset val="1"/>
      </rPr>
      <t xml:space="preserve">64.7%(11/17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가장 낮음 — 미처리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건 우선 처리</t>
    </r>
  </si>
  <si>
    <r>
      <rPr>
        <sz val="10"/>
        <rFont val="WenQuanYi Zen Hei"/>
        <family val="2"/>
      </rPr>
      <t xml:space="preserve">• 업무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미완료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건 — 추석 선물세트 재고 정리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박주임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진행 중</t>
    </r>
    <r>
      <rPr>
        <sz val="10"/>
        <rFont val="맑은 고딕"/>
        <family val="0"/>
        <charset val="1"/>
      </rPr>
      <t xml:space="preserve">, ~10/14), </t>
    </r>
    <r>
      <rPr>
        <sz val="10"/>
        <rFont val="WenQuanYi Zen Hei"/>
        <family val="2"/>
      </rPr>
      <t xml:space="preserve">스마트스토어 상세페이지 수정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이과장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진행 중</t>
    </r>
    <r>
      <rPr>
        <sz val="10"/>
        <rFont val="맑은 고딕"/>
        <family val="0"/>
        <charset val="1"/>
      </rPr>
      <t xml:space="preserve">, ~10/11), </t>
    </r>
    <r>
      <rPr>
        <sz val="10"/>
        <rFont val="WenQuanYi Zen Hei"/>
        <family val="2"/>
      </rPr>
      <t xml:space="preserve">원두 납품처 단가 협상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최팀장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대기</t>
    </r>
    <r>
      <rPr>
        <sz val="10"/>
        <rFont val="맑은 고딕"/>
        <family val="0"/>
        <charset val="1"/>
      </rPr>
      <t xml:space="preserve">, ~10/17)</t>
    </r>
  </si>
  <si>
    <r>
      <rPr>
        <sz val="10"/>
        <rFont val="WenQuanYi Zen Hei"/>
        <family val="2"/>
      </rPr>
      <t xml:space="preserve">• 차주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미처리 </t>
    </r>
    <r>
      <rPr>
        <sz val="10"/>
        <rFont val="맑은 고딕"/>
        <family val="0"/>
        <charset val="1"/>
      </rPr>
      <t xml:space="preserve">CS </t>
    </r>
    <r>
      <rPr>
        <sz val="10"/>
        <rFont val="WenQuanYi Zen Hei"/>
        <family val="2"/>
      </rPr>
      <t xml:space="preserve">해소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진행 중 업무 마감 준수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원두 단가 협상 착수</t>
    </r>
  </si>
  <si>
    <r>
      <rPr>
        <i val="true"/>
        <sz val="9"/>
        <color rgb="FF7F7F7F"/>
        <rFont val="WenQuanYi Zen Hei"/>
        <family val="2"/>
      </rPr>
      <t xml:space="preserve">※ 요약 지표는 각 시트의 원본 데이터를 수식으로 참조하며</t>
    </r>
    <r>
      <rPr>
        <i val="true"/>
        <sz val="9"/>
        <color rgb="FF7F7F7F"/>
        <rFont val="맑은 고딕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이슈 문구는 이번 주 데이터를 바탕으로 작성됨</t>
    </r>
  </si>
  <si>
    <t xml:space="preserve">날짜</t>
  </si>
  <si>
    <t xml:space="preserve">상품</t>
  </si>
  <si>
    <t xml:space="preserve">수량</t>
  </si>
  <si>
    <t xml:space="preserve">단가</t>
  </si>
  <si>
    <t xml:space="preserve">매출</t>
  </si>
  <si>
    <t xml:space="preserve">판매수량</t>
  </si>
  <si>
    <t xml:space="preserve">매출 비중</t>
  </si>
  <si>
    <r>
      <rPr>
        <sz val="10"/>
        <rFont val="맑은 고딕"/>
        <family val="0"/>
        <charset val="1"/>
      </rPr>
      <t xml:space="preserve">10/5(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</si>
  <si>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커피 원두</t>
  </si>
  <si>
    <t xml:space="preserve">드립백</t>
  </si>
  <si>
    <t xml:space="preserve">머그컵</t>
  </si>
  <si>
    <r>
      <rPr>
        <sz val="10"/>
        <rFont val="맑은 고딕"/>
        <family val="0"/>
        <charset val="1"/>
      </rPr>
      <t xml:space="preserve">10/6(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</t>
    </r>
  </si>
  <si>
    <t xml:space="preserve">합계</t>
  </si>
  <si>
    <r>
      <rPr>
        <sz val="10"/>
        <rFont val="맑은 고딕"/>
        <family val="0"/>
        <charset val="1"/>
      </rPr>
      <t xml:space="preserve">10/7(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</si>
  <si>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10/8(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</si>
  <si>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10/9(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</si>
  <si>
    <t xml:space="preserve">유형</t>
  </si>
  <si>
    <t xml:space="preserve">접수</t>
  </si>
  <si>
    <t xml:space="preserve">배송 문의</t>
  </si>
  <si>
    <r>
      <rPr>
        <sz val="10"/>
        <rFont val="WenQuanYi Zen Hei"/>
        <family val="2"/>
      </rPr>
      <t xml:space="preserve">교환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반품</t>
    </r>
  </si>
  <si>
    <t xml:space="preserve">상품 문의</t>
  </si>
  <si>
    <t xml:space="preserve">결제 오류</t>
  </si>
  <si>
    <r>
      <rPr>
        <i val="true"/>
        <sz val="9"/>
        <color rgb="FF7F7F7F"/>
        <rFont val="WenQuanYi Zen Hei"/>
        <family val="2"/>
      </rPr>
      <t xml:space="preserve">※ 처리율 </t>
    </r>
    <r>
      <rPr>
        <i val="true"/>
        <sz val="9"/>
        <color rgb="FF7F7F7F"/>
        <rFont val="맑은 고딕"/>
        <family val="0"/>
        <charset val="1"/>
      </rPr>
      <t xml:space="preserve">80% </t>
    </r>
    <r>
      <rPr>
        <i val="true"/>
        <sz val="9"/>
        <color rgb="FF7F7F7F"/>
        <rFont val="WenQuanYi Zen Hei"/>
        <family val="2"/>
      </rPr>
      <t xml:space="preserve">미만은 붉은색으로 표시</t>
    </r>
  </si>
  <si>
    <t xml:space="preserve">업무</t>
  </si>
  <si>
    <t xml:space="preserve">담당</t>
  </si>
  <si>
    <t xml:space="preserve">상태</t>
  </si>
  <si>
    <t xml:space="preserve">마감</t>
  </si>
  <si>
    <t xml:space="preserve">건수</t>
  </si>
  <si>
    <t xml:space="preserve">비율</t>
  </si>
  <si>
    <t xml:space="preserve">가을 신메뉴 사진 촬영</t>
  </si>
  <si>
    <t xml:space="preserve">김대리</t>
  </si>
  <si>
    <t xml:space="preserve">완료</t>
  </si>
  <si>
    <t xml:space="preserve">10/7</t>
  </si>
  <si>
    <t xml:space="preserve">추석 선물세트 재고 정리</t>
  </si>
  <si>
    <t xml:space="preserve">박주임</t>
  </si>
  <si>
    <t xml:space="preserve">진행 중</t>
  </si>
  <si>
    <t xml:space="preserve">10/14</t>
  </si>
  <si>
    <t xml:space="preserve">스마트스토어 상세페이지 수정</t>
  </si>
  <si>
    <t xml:space="preserve">이과장</t>
  </si>
  <si>
    <t xml:space="preserve">10/11</t>
  </si>
  <si>
    <t xml:space="preserve">대기</t>
  </si>
  <si>
    <t xml:space="preserve">원두 납품처 단가 협상</t>
  </si>
  <si>
    <t xml:space="preserve">최팀장</t>
  </si>
  <si>
    <t xml:space="preserve">10/17</t>
  </si>
  <si>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월 이벤트 공지</t>
    </r>
  </si>
  <si>
    <t xml:space="preserve">10/8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</si>
</sst>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\원"/>
    <numFmt numFmtId="166" formatCode="#,##0\개"/>
    <numFmt numFmtId="167" formatCode="0.0%"/>
    <numFmt numFmtId="168" formatCode="#,##0\건"/>
    <numFmt numFmtId="169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2"/>
      <color rgb="FF1F3864"/>
      <name val="WenQuanYi Zen Hei"/>
      <family val="2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2"/>
      <color rgb="FF1F3864"/>
      <name val="맑은 고딕"/>
      <family val="0"/>
      <charset val="1"/>
    </font>
    <font>
      <sz val="10"/>
      <name val="WenQuanYi Zen Hei"/>
      <family val="2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A7EBB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상품별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매출!I1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매출!$G$2:$G$4</c:f>
              <c:strCache>
                <c:ptCount val="3"/>
                <c:pt idx="0">
                  <c:v>커피 원두</c:v>
                </c:pt>
                <c:pt idx="1">
                  <c:v>드립백</c:v>
                </c:pt>
                <c:pt idx="2">
                  <c:v>머그컵</c:v>
                </c:pt>
              </c:strCache>
            </c:strRef>
          </c:cat>
          <c:val>
            <c:numRef>
              <c:f>매출!$I$2:$I$4</c:f>
              <c:numCache>
                <c:formatCode>#,##0\원</c:formatCode>
                <c:ptCount val="3"/>
                <c:pt idx="0">
                  <c:v>2268000</c:v>
                </c:pt>
                <c:pt idx="1">
                  <c:v>756000</c:v>
                </c:pt>
                <c:pt idx="2">
                  <c:v>1344000</c:v>
                </c:pt>
              </c:numCache>
            </c:numRef>
          </c:val>
        </c:ser>
        <c:gapWidth val="150"/>
        <c:overlap val="0"/>
        <c:axId val="86281437"/>
        <c:axId val="72424502"/>
      </c:barChart>
      <c:catAx>
        <c:axId val="862814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4502"/>
        <c:crosses val="autoZero"/>
        <c:auto val="1"/>
        <c:lblAlgn val="ctr"/>
        <c:lblOffset val="100"/>
        <c:noMultiLvlLbl val="0"/>
      </c:catAx>
      <c:valAx>
        <c:axId val="7242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원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81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일자별 매출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매출!I8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매출!$G$9:$G$13</c:f>
              <c:strCache>
                <c:ptCount val="5"/>
                <c:pt idx="0">
                  <c:v>10/5(월)</c:v>
                </c:pt>
                <c:pt idx="1">
                  <c:v>10/6(화)</c:v>
                </c:pt>
                <c:pt idx="2">
                  <c:v>10/7(수)</c:v>
                </c:pt>
                <c:pt idx="3">
                  <c:v>10/8(목)</c:v>
                </c:pt>
                <c:pt idx="4">
                  <c:v>10/9(금)</c:v>
                </c:pt>
              </c:strCache>
            </c:strRef>
          </c:cat>
          <c:val>
            <c:numRef>
              <c:f>매출!$I$9:$I$13</c:f>
              <c:numCache>
                <c:formatCode>#,##0\원</c:formatCode>
                <c:ptCount val="5"/>
                <c:pt idx="0">
                  <c:v>1053000</c:v>
                </c:pt>
                <c:pt idx="1">
                  <c:v>474000</c:v>
                </c:pt>
                <c:pt idx="2">
                  <c:v>1137000</c:v>
                </c:pt>
                <c:pt idx="3">
                  <c:v>624000</c:v>
                </c:pt>
                <c:pt idx="4">
                  <c:v>1080000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818002"/>
        <c:axId val="55735773"/>
      </c:lineChart>
      <c:catAx>
        <c:axId val="75818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35773"/>
        <c:crosses val="autoZero"/>
        <c:auto val="1"/>
        <c:lblAlgn val="ctr"/>
        <c:lblOffset val="100"/>
        <c:noMultiLvlLbl val="0"/>
      </c:catAx>
      <c:valAx>
        <c:axId val="55735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원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18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유형별 접수 / 처리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고객문의!H1</c:f>
              <c:strCache>
                <c:ptCount val="1"/>
                <c:pt idx="0">
                  <c:v>접수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고객문의!$G$2:$G$5</c:f>
              <c:strCache>
                <c:ptCount val="4"/>
                <c:pt idx="0">
                  <c:v>배송 문의</c:v>
                </c:pt>
                <c:pt idx="1">
                  <c:v>교환·반품</c:v>
                </c:pt>
                <c:pt idx="2">
                  <c:v>상품 문의</c:v>
                </c:pt>
                <c:pt idx="3">
                  <c:v>결제 오류</c:v>
                </c:pt>
              </c:strCache>
            </c:strRef>
          </c:cat>
          <c:val>
            <c:numRef>
              <c:f>고객문의!$H$2:$H$5</c:f>
              <c:numCache>
                <c:formatCode>#,##0</c:formatCode>
                <c:ptCount val="4"/>
                <c:pt idx="0">
                  <c:v>29</c:v>
                </c:pt>
                <c:pt idx="1">
                  <c:v>32</c:v>
                </c:pt>
                <c:pt idx="2">
                  <c:v>26</c:v>
                </c:pt>
                <c:pt idx="3">
                  <c:v>17</c:v>
                </c:pt>
              </c:numCache>
            </c:numRef>
          </c:val>
        </c:ser>
        <c:ser>
          <c:idx val="1"/>
          <c:order val="1"/>
          <c:tx>
            <c:strRef>
              <c:f>고객문의!I1</c:f>
              <c:strCache>
                <c:ptCount val="1"/>
                <c:pt idx="0">
                  <c:v>처리 완료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고객문의!$G$2:$G$5</c:f>
              <c:strCache>
                <c:ptCount val="4"/>
                <c:pt idx="0">
                  <c:v>배송 문의</c:v>
                </c:pt>
                <c:pt idx="1">
                  <c:v>교환·반품</c:v>
                </c:pt>
                <c:pt idx="2">
                  <c:v>상품 문의</c:v>
                </c:pt>
                <c:pt idx="3">
                  <c:v>결제 오류</c:v>
                </c:pt>
              </c:strCache>
            </c:strRef>
          </c:cat>
          <c:val>
            <c:numRef>
              <c:f>고객문의!$I$2:$I$5</c:f>
              <c:numCache>
                <c:formatCode>#,##0</c:formatCode>
                <c:ptCount val="4"/>
                <c:pt idx="0">
                  <c:v>27</c:v>
                </c:pt>
                <c:pt idx="1">
                  <c:v>28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</c:ser>
        <c:gapWidth val="150"/>
        <c:overlap val="0"/>
        <c:axId val="5011355"/>
        <c:axId val="64798799"/>
      </c:barChart>
      <c:catAx>
        <c:axId val="5011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98799"/>
        <c:crosses val="autoZero"/>
        <c:auto val="1"/>
        <c:lblAlgn val="ctr"/>
        <c:lblOffset val="100"/>
        <c:noMultiLvlLbl val="0"/>
      </c:catAx>
      <c:valAx>
        <c:axId val="64798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1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업무 상태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업무현황!G1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업무현황!$F$2:$F$4</c:f>
              <c:strCache>
                <c:ptCount val="3"/>
                <c:pt idx="0">
                  <c:v>완료</c:v>
                </c:pt>
                <c:pt idx="1">
                  <c:v>진행 중</c:v>
                </c:pt>
                <c:pt idx="2">
                  <c:v>대기</c:v>
                </c:pt>
              </c:strCache>
            </c:strRef>
          </c:cat>
          <c:val>
            <c:numRef>
              <c:f>업무현황!$G$2:$G$4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6</xdr:col>
      <xdr:colOff>90360</xdr:colOff>
      <xdr:row>32</xdr:row>
      <xdr:rowOff>43200</xdr:rowOff>
    </xdr:to>
    <xdr:graphicFrame>
      <xdr:nvGraphicFramePr>
        <xdr:cNvPr id="0" name="Chart 1"/>
        <xdr:cNvGraphicFramePr/>
      </xdr:nvGraphicFramePr>
      <xdr:xfrm>
        <a:off x="0" y="3619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11</xdr:col>
      <xdr:colOff>536400</xdr:colOff>
      <xdr:row>32</xdr:row>
      <xdr:rowOff>43200</xdr:rowOff>
    </xdr:to>
    <xdr:graphicFrame>
      <xdr:nvGraphicFramePr>
        <xdr:cNvPr id="1" name="Chart 2"/>
        <xdr:cNvGraphicFramePr/>
      </xdr:nvGraphicFramePr>
      <xdr:xfrm>
        <a:off x="4229280" y="3619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513360</xdr:colOff>
      <xdr:row>37</xdr:row>
      <xdr:rowOff>43200</xdr:rowOff>
    </xdr:to>
    <xdr:graphicFrame>
      <xdr:nvGraphicFramePr>
        <xdr:cNvPr id="2" name="Chart 1"/>
        <xdr:cNvGraphicFramePr/>
      </xdr:nvGraphicFramePr>
      <xdr:xfrm>
        <a:off x="0" y="4572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3</xdr:col>
      <xdr:colOff>75240</xdr:colOff>
      <xdr:row>21</xdr:row>
      <xdr:rowOff>42840</xdr:rowOff>
    </xdr:to>
    <xdr:graphicFrame>
      <xdr:nvGraphicFramePr>
        <xdr:cNvPr id="3" name="Chart 1"/>
        <xdr:cNvGraphicFramePr/>
      </xdr:nvGraphicFramePr>
      <xdr:xfrm>
        <a:off x="0" y="15238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매출!I5</f>
        <v>4368000</v>
      </c>
    </row>
    <row r="6" customFormat="false" ht="15" hidden="false" customHeight="false" outlineLevel="0" collapsed="false">
      <c r="A6" s="4" t="s">
        <v>4</v>
      </c>
      <c r="B6" s="6" t="n">
        <f aca="false">매출!H5</f>
        <v>322</v>
      </c>
    </row>
    <row r="7" customFormat="false" ht="15" hidden="false" customHeight="false" outlineLevel="0" collapsed="false">
      <c r="A7" s="4" t="s">
        <v>5</v>
      </c>
      <c r="B7" s="5" t="n">
        <f aca="false">매출!I14/COUNTA(매출!G9:G13)</f>
        <v>873600</v>
      </c>
    </row>
    <row r="8" customFormat="false" ht="15" hidden="false" customHeight="false" outlineLevel="0" collapsed="false">
      <c r="A8" s="4" t="s">
        <v>6</v>
      </c>
      <c r="B8" s="7" t="str">
        <f aca="false">INDEX(매출!G9:G13,MATCH(MAX(매출!I9:I13),매출!I9:I13,0))</f>
        <v>10/7(수)</v>
      </c>
    </row>
    <row r="9" customFormat="false" ht="15" hidden="false" customHeight="false" outlineLevel="0" collapsed="false">
      <c r="A9" s="4" t="s">
        <v>7</v>
      </c>
      <c r="B9" s="5" t="n">
        <f aca="false">MAX(매출!I9:I13)</f>
        <v>1137000</v>
      </c>
    </row>
    <row r="10" customFormat="false" ht="15" hidden="false" customHeight="false" outlineLevel="0" collapsed="false">
      <c r="A10" s="4" t="s">
        <v>8</v>
      </c>
      <c r="B10" s="7" t="str">
        <f aca="false">INDEX(매출!G2:G4,MATCH(MAX(매출!I2:I4),매출!I2:I4,0))</f>
        <v>커피 원두</v>
      </c>
    </row>
    <row r="11" customFormat="false" ht="15" hidden="false" customHeight="false" outlineLevel="0" collapsed="false">
      <c r="A11" s="4" t="s">
        <v>9</v>
      </c>
      <c r="B11" s="8" t="n">
        <f aca="false">MAX(매출!J2:J4)</f>
        <v>0.519230769230769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9" t="n">
        <f aca="false">고객문의!H6</f>
        <v>104</v>
      </c>
    </row>
    <row r="15" customFormat="false" ht="15" hidden="false" customHeight="false" outlineLevel="0" collapsed="false">
      <c r="A15" s="4" t="s">
        <v>12</v>
      </c>
      <c r="B15" s="9" t="n">
        <f aca="false">고객문의!I6</f>
        <v>88</v>
      </c>
    </row>
    <row r="16" customFormat="false" ht="15" hidden="false" customHeight="false" outlineLevel="0" collapsed="false">
      <c r="A16" s="4" t="s">
        <v>13</v>
      </c>
      <c r="B16" s="9" t="n">
        <f aca="false">고객문의!J6</f>
        <v>16</v>
      </c>
    </row>
    <row r="17" customFormat="false" ht="15" hidden="false" customHeight="false" outlineLevel="0" collapsed="false">
      <c r="A17" s="4" t="s">
        <v>14</v>
      </c>
      <c r="B17" s="8" t="n">
        <f aca="false">고객문의!K6</f>
        <v>0.846153846153846</v>
      </c>
    </row>
    <row r="18" customFormat="false" ht="15" hidden="false" customHeight="false" outlineLevel="0" collapsed="false">
      <c r="A18" s="4" t="s">
        <v>15</v>
      </c>
      <c r="B18" s="7" t="str">
        <f aca="false">INDEX(고객문의!G2:G5,MATCH(MAX(고객문의!H2:H5),고객문의!H2:H5,0))</f>
        <v>교환·반품</v>
      </c>
    </row>
    <row r="19" customFormat="false" ht="15" hidden="false" customHeight="false" outlineLevel="0" collapsed="false">
      <c r="A19" s="4" t="s">
        <v>16</v>
      </c>
      <c r="B19" s="7" t="str">
        <f aca="false">INDEX(고객문의!G2:G5,MATCH(MIN(고객문의!K2:K5),고객문의!K2:K5,0))</f>
        <v>결제 오류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4" t="s">
        <v>18</v>
      </c>
      <c r="B22" s="9" t="n">
        <f aca="false">업무현황!G5</f>
        <v>5</v>
      </c>
    </row>
    <row r="23" customFormat="false" ht="15" hidden="false" customHeight="false" outlineLevel="0" collapsed="false">
      <c r="A23" s="4" t="s">
        <v>19</v>
      </c>
      <c r="B23" s="7" t="str">
        <f aca="false">업무현황!G2&amp;" / "&amp;업무현황!G3&amp;" / "&amp;업무현황!G4</f>
        <v>2 / 2 / 1</v>
      </c>
    </row>
    <row r="24" customFormat="false" ht="15" hidden="false" customHeight="false" outlineLevel="0" collapsed="false">
      <c r="A24" s="4" t="s">
        <v>20</v>
      </c>
      <c r="B24" s="8" t="n">
        <f aca="false">업무현황!H2</f>
        <v>0.4</v>
      </c>
    </row>
    <row r="26" customFormat="false" ht="15" hidden="false" customHeight="false" outlineLevel="0" collapsed="false">
      <c r="A26" s="3" t="s">
        <v>21</v>
      </c>
    </row>
    <row r="27" customFormat="false" ht="30" hidden="false" customHeight="true" outlineLevel="0" collapsed="false">
      <c r="A27" s="10" t="s">
        <v>22</v>
      </c>
      <c r="B27" s="10"/>
      <c r="C27" s="10"/>
      <c r="D27" s="10"/>
      <c r="E27" s="10"/>
      <c r="F27" s="10"/>
      <c r="G27" s="10"/>
      <c r="H27" s="10"/>
    </row>
    <row r="28" customFormat="false" ht="30" hidden="false" customHeight="true" outlineLevel="0" collapsed="false">
      <c r="A28" s="11" t="s">
        <v>23</v>
      </c>
      <c r="B28" s="11"/>
      <c r="C28" s="11"/>
      <c r="D28" s="11"/>
      <c r="E28" s="11"/>
      <c r="F28" s="11"/>
      <c r="G28" s="11"/>
      <c r="H28" s="11"/>
    </row>
    <row r="29" customFormat="false" ht="30" hidden="false" customHeight="true" outlineLevel="0" collapsed="false">
      <c r="A29" s="10" t="s">
        <v>24</v>
      </c>
      <c r="B29" s="10"/>
      <c r="C29" s="10"/>
      <c r="D29" s="10"/>
      <c r="E29" s="10"/>
      <c r="F29" s="10"/>
      <c r="G29" s="10"/>
      <c r="H29" s="10"/>
    </row>
    <row r="30" customFormat="false" ht="30" hidden="false" customHeight="true" outlineLevel="0" collapsed="false">
      <c r="A30" s="10" t="s">
        <v>25</v>
      </c>
      <c r="B30" s="10"/>
      <c r="C30" s="10"/>
      <c r="D30" s="10"/>
      <c r="E30" s="10"/>
      <c r="F30" s="10"/>
      <c r="G30" s="10"/>
      <c r="H30" s="10"/>
    </row>
    <row r="32" customFormat="false" ht="15" hidden="false" customHeight="false" outlineLevel="0" collapsed="false">
      <c r="A32" s="12" t="s">
        <v>26</v>
      </c>
    </row>
  </sheetData>
  <mergeCells count="4"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G1" s="13" t="s">
        <v>28</v>
      </c>
      <c r="H1" s="13" t="s">
        <v>32</v>
      </c>
      <c r="I1" s="13" t="s">
        <v>31</v>
      </c>
      <c r="J1" s="13" t="s">
        <v>33</v>
      </c>
    </row>
    <row r="2" customFormat="false" ht="15" hidden="false" customHeight="false" outlineLevel="0" collapsed="false">
      <c r="A2" s="14" t="s">
        <v>34</v>
      </c>
      <c r="B2" s="15" t="s">
        <v>35</v>
      </c>
      <c r="C2" s="16" t="n">
        <v>28</v>
      </c>
      <c r="D2" s="17" t="n">
        <v>18000</v>
      </c>
      <c r="E2" s="17" t="n">
        <f aca="false">C2*D2</f>
        <v>504000</v>
      </c>
      <c r="G2" s="15" t="s">
        <v>35</v>
      </c>
      <c r="H2" s="16" t="n">
        <f aca="false">SUMIF($B$2:$B$16,G2,$C$2:$C$16)</f>
        <v>126</v>
      </c>
      <c r="I2" s="17" t="n">
        <f aca="false">SUMIF($B$2:$B$16,G2,$E$2:$E$16)</f>
        <v>2268000</v>
      </c>
      <c r="J2" s="18" t="n">
        <f aca="false">IF($I$5=0,0,I2/$I$5)</f>
        <v>0.519230769230769</v>
      </c>
    </row>
    <row r="3" customFormat="false" ht="15" hidden="false" customHeight="false" outlineLevel="0" collapsed="false">
      <c r="A3" s="14" t="s">
        <v>34</v>
      </c>
      <c r="B3" s="15" t="s">
        <v>36</v>
      </c>
      <c r="C3" s="16" t="n">
        <v>17</v>
      </c>
      <c r="D3" s="17" t="n">
        <v>9000</v>
      </c>
      <c r="E3" s="17" t="n">
        <f aca="false">C3*D3</f>
        <v>153000</v>
      </c>
      <c r="G3" s="15" t="s">
        <v>36</v>
      </c>
      <c r="H3" s="16" t="n">
        <f aca="false">SUMIF($B$2:$B$16,G3,$C$2:$C$16)</f>
        <v>84</v>
      </c>
      <c r="I3" s="17" t="n">
        <f aca="false">SUMIF($B$2:$B$16,G3,$E$2:$E$16)</f>
        <v>756000</v>
      </c>
      <c r="J3" s="18" t="n">
        <f aca="false">IF($I$5=0,0,I3/$I$5)</f>
        <v>0.173076923076923</v>
      </c>
    </row>
    <row r="4" customFormat="false" ht="15" hidden="false" customHeight="false" outlineLevel="0" collapsed="false">
      <c r="A4" s="14" t="s">
        <v>34</v>
      </c>
      <c r="B4" s="15" t="s">
        <v>37</v>
      </c>
      <c r="C4" s="16" t="n">
        <v>33</v>
      </c>
      <c r="D4" s="17" t="n">
        <v>12000</v>
      </c>
      <c r="E4" s="17" t="n">
        <f aca="false">C4*D4</f>
        <v>396000</v>
      </c>
      <c r="G4" s="15" t="s">
        <v>37</v>
      </c>
      <c r="H4" s="16" t="n">
        <f aca="false">SUMIF($B$2:$B$16,G4,$C$2:$C$16)</f>
        <v>112</v>
      </c>
      <c r="I4" s="17" t="n">
        <f aca="false">SUMIF($B$2:$B$16,G4,$E$2:$E$16)</f>
        <v>1344000</v>
      </c>
      <c r="J4" s="18" t="n">
        <f aca="false">IF($I$5=0,0,I4/$I$5)</f>
        <v>0.307692307692308</v>
      </c>
    </row>
    <row r="5" customFormat="false" ht="15" hidden="false" customHeight="false" outlineLevel="0" collapsed="false">
      <c r="A5" s="14" t="s">
        <v>38</v>
      </c>
      <c r="B5" s="15" t="s">
        <v>35</v>
      </c>
      <c r="C5" s="16" t="n">
        <v>11</v>
      </c>
      <c r="D5" s="17" t="n">
        <v>18000</v>
      </c>
      <c r="E5" s="17" t="n">
        <f aca="false">C5*D5</f>
        <v>198000</v>
      </c>
      <c r="G5" s="19" t="s">
        <v>39</v>
      </c>
      <c r="H5" s="20" t="n">
        <f aca="false">SUM(H2:H4)</f>
        <v>322</v>
      </c>
      <c r="I5" s="21" t="n">
        <f aca="false">SUM(I2:I4)</f>
        <v>4368000</v>
      </c>
      <c r="J5" s="22" t="n">
        <f aca="false">SUM(J2:J4)</f>
        <v>1</v>
      </c>
    </row>
    <row r="6" customFormat="false" ht="15" hidden="false" customHeight="false" outlineLevel="0" collapsed="false">
      <c r="A6" s="14" t="s">
        <v>38</v>
      </c>
      <c r="B6" s="15" t="s">
        <v>36</v>
      </c>
      <c r="C6" s="16" t="n">
        <v>12</v>
      </c>
      <c r="D6" s="17" t="n">
        <v>9000</v>
      </c>
      <c r="E6" s="17" t="n">
        <f aca="false">C6*D6</f>
        <v>108000</v>
      </c>
    </row>
    <row r="7" customFormat="false" ht="15" hidden="false" customHeight="false" outlineLevel="0" collapsed="false">
      <c r="A7" s="14" t="s">
        <v>38</v>
      </c>
      <c r="B7" s="15" t="s">
        <v>37</v>
      </c>
      <c r="C7" s="16" t="n">
        <v>14</v>
      </c>
      <c r="D7" s="17" t="n">
        <v>12000</v>
      </c>
      <c r="E7" s="17" t="n">
        <f aca="false">C7*D7</f>
        <v>168000</v>
      </c>
    </row>
    <row r="8" customFormat="false" ht="15" hidden="false" customHeight="false" outlineLevel="0" collapsed="false">
      <c r="A8" s="14" t="s">
        <v>40</v>
      </c>
      <c r="B8" s="15" t="s">
        <v>35</v>
      </c>
      <c r="C8" s="16" t="n">
        <v>31</v>
      </c>
      <c r="D8" s="17" t="n">
        <v>18000</v>
      </c>
      <c r="E8" s="17" t="n">
        <f aca="false">C8*D8</f>
        <v>558000</v>
      </c>
      <c r="G8" s="13" t="s">
        <v>27</v>
      </c>
      <c r="H8" s="13" t="s">
        <v>32</v>
      </c>
      <c r="I8" s="13" t="s">
        <v>31</v>
      </c>
    </row>
    <row r="9" customFormat="false" ht="15" hidden="false" customHeight="false" outlineLevel="0" collapsed="false">
      <c r="A9" s="14" t="s">
        <v>40</v>
      </c>
      <c r="B9" s="15" t="s">
        <v>36</v>
      </c>
      <c r="C9" s="16" t="n">
        <v>11</v>
      </c>
      <c r="D9" s="17" t="n">
        <v>9000</v>
      </c>
      <c r="E9" s="17" t="n">
        <f aca="false">C9*D9</f>
        <v>99000</v>
      </c>
      <c r="G9" s="14" t="s">
        <v>34</v>
      </c>
      <c r="H9" s="16" t="n">
        <f aca="false">SUMIF($A$2:$A$16,G9,$C$2:$C$16)</f>
        <v>78</v>
      </c>
      <c r="I9" s="17" t="n">
        <f aca="false">SUMIF($A$2:$A$16,G9,$E$2:$E$16)</f>
        <v>1053000</v>
      </c>
    </row>
    <row r="10" customFormat="false" ht="15" hidden="false" customHeight="false" outlineLevel="0" collapsed="false">
      <c r="A10" s="14" t="s">
        <v>40</v>
      </c>
      <c r="B10" s="15" t="s">
        <v>37</v>
      </c>
      <c r="C10" s="16" t="n">
        <v>40</v>
      </c>
      <c r="D10" s="17" t="n">
        <v>12000</v>
      </c>
      <c r="E10" s="17" t="n">
        <f aca="false">C10*D10</f>
        <v>480000</v>
      </c>
      <c r="G10" s="14" t="s">
        <v>38</v>
      </c>
      <c r="H10" s="16" t="n">
        <f aca="false">SUMIF($A$2:$A$16,G10,$C$2:$C$16)</f>
        <v>37</v>
      </c>
      <c r="I10" s="17" t="n">
        <f aca="false">SUMIF($A$2:$A$16,G10,$E$2:$E$16)</f>
        <v>474000</v>
      </c>
    </row>
    <row r="11" customFormat="false" ht="15" hidden="false" customHeight="false" outlineLevel="0" collapsed="false">
      <c r="A11" s="14" t="s">
        <v>41</v>
      </c>
      <c r="B11" s="15" t="s">
        <v>35</v>
      </c>
      <c r="C11" s="16" t="n">
        <v>21</v>
      </c>
      <c r="D11" s="17" t="n">
        <v>18000</v>
      </c>
      <c r="E11" s="17" t="n">
        <f aca="false">C11*D11</f>
        <v>378000</v>
      </c>
      <c r="G11" s="14" t="s">
        <v>40</v>
      </c>
      <c r="H11" s="16" t="n">
        <f aca="false">SUMIF($A$2:$A$16,G11,$C$2:$C$16)</f>
        <v>82</v>
      </c>
      <c r="I11" s="17" t="n">
        <f aca="false">SUMIF($A$2:$A$16,G11,$E$2:$E$16)</f>
        <v>1137000</v>
      </c>
    </row>
    <row r="12" customFormat="false" ht="15" hidden="false" customHeight="false" outlineLevel="0" collapsed="false">
      <c r="A12" s="14" t="s">
        <v>41</v>
      </c>
      <c r="B12" s="15" t="s">
        <v>36</v>
      </c>
      <c r="C12" s="16" t="n">
        <v>10</v>
      </c>
      <c r="D12" s="17" t="n">
        <v>9000</v>
      </c>
      <c r="E12" s="17" t="n">
        <f aca="false">C12*D12</f>
        <v>90000</v>
      </c>
      <c r="G12" s="14" t="s">
        <v>41</v>
      </c>
      <c r="H12" s="16" t="n">
        <f aca="false">SUMIF($A$2:$A$16,G12,$C$2:$C$16)</f>
        <v>44</v>
      </c>
      <c r="I12" s="17" t="n">
        <f aca="false">SUMIF($A$2:$A$16,G12,$E$2:$E$16)</f>
        <v>624000</v>
      </c>
    </row>
    <row r="13" customFormat="false" ht="15" hidden="false" customHeight="false" outlineLevel="0" collapsed="false">
      <c r="A13" s="14" t="s">
        <v>41</v>
      </c>
      <c r="B13" s="15" t="s">
        <v>37</v>
      </c>
      <c r="C13" s="16" t="n">
        <v>13</v>
      </c>
      <c r="D13" s="17" t="n">
        <v>12000</v>
      </c>
      <c r="E13" s="17" t="n">
        <f aca="false">C13*D13</f>
        <v>156000</v>
      </c>
      <c r="G13" s="14" t="s">
        <v>42</v>
      </c>
      <c r="H13" s="16" t="n">
        <f aca="false">SUMIF($A$2:$A$16,G13,$C$2:$C$16)</f>
        <v>81</v>
      </c>
      <c r="I13" s="17" t="n">
        <f aca="false">SUMIF($A$2:$A$16,G13,$E$2:$E$16)</f>
        <v>1080000</v>
      </c>
    </row>
    <row r="14" customFormat="false" ht="15" hidden="false" customHeight="false" outlineLevel="0" collapsed="false">
      <c r="A14" s="14" t="s">
        <v>42</v>
      </c>
      <c r="B14" s="15" t="s">
        <v>35</v>
      </c>
      <c r="C14" s="16" t="n">
        <v>35</v>
      </c>
      <c r="D14" s="17" t="n">
        <v>18000</v>
      </c>
      <c r="E14" s="17" t="n">
        <f aca="false">C14*D14</f>
        <v>630000</v>
      </c>
      <c r="G14" s="19" t="s">
        <v>39</v>
      </c>
      <c r="H14" s="20" t="n">
        <f aca="false">SUM(H9:H13)</f>
        <v>322</v>
      </c>
      <c r="I14" s="21" t="n">
        <f aca="false">SUM(I9:I13)</f>
        <v>4368000</v>
      </c>
    </row>
    <row r="15" customFormat="false" ht="15" hidden="false" customHeight="false" outlineLevel="0" collapsed="false">
      <c r="A15" s="14" t="s">
        <v>42</v>
      </c>
      <c r="B15" s="15" t="s">
        <v>36</v>
      </c>
      <c r="C15" s="16" t="n">
        <v>34</v>
      </c>
      <c r="D15" s="17" t="n">
        <v>9000</v>
      </c>
      <c r="E15" s="17" t="n">
        <f aca="false">C15*D15</f>
        <v>306000</v>
      </c>
    </row>
    <row r="16" customFormat="false" ht="15" hidden="false" customHeight="false" outlineLevel="0" collapsed="false">
      <c r="A16" s="14" t="s">
        <v>42</v>
      </c>
      <c r="B16" s="15" t="s">
        <v>37</v>
      </c>
      <c r="C16" s="16" t="n">
        <v>12</v>
      </c>
      <c r="D16" s="17" t="n">
        <v>12000</v>
      </c>
      <c r="E16" s="17" t="n">
        <f aca="false">C16*D16</f>
        <v>144000</v>
      </c>
    </row>
    <row r="17" customFormat="false" ht="15" hidden="false" customHeight="false" outlineLevel="0" collapsed="false">
      <c r="A17" s="19" t="s">
        <v>39</v>
      </c>
      <c r="B17" s="23"/>
      <c r="C17" s="20" t="n">
        <f aca="false">SUM(C2:C16)</f>
        <v>322</v>
      </c>
      <c r="D17" s="23"/>
      <c r="E17" s="21" t="n">
        <f aca="false">SUM(E2:E16)</f>
        <v>4368000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3" t="s">
        <v>27</v>
      </c>
      <c r="B1" s="13" t="s">
        <v>43</v>
      </c>
      <c r="C1" s="13" t="s">
        <v>44</v>
      </c>
      <c r="D1" s="13" t="s">
        <v>12</v>
      </c>
      <c r="E1" s="13" t="s">
        <v>14</v>
      </c>
      <c r="G1" s="13" t="s">
        <v>43</v>
      </c>
      <c r="H1" s="13" t="s">
        <v>44</v>
      </c>
      <c r="I1" s="13" t="s">
        <v>12</v>
      </c>
      <c r="J1" s="13" t="s">
        <v>13</v>
      </c>
      <c r="K1" s="13" t="s">
        <v>14</v>
      </c>
    </row>
    <row r="2" customFormat="false" ht="15" hidden="false" customHeight="false" outlineLevel="0" collapsed="false">
      <c r="A2" s="14" t="s">
        <v>34</v>
      </c>
      <c r="B2" s="15" t="s">
        <v>45</v>
      </c>
      <c r="C2" s="16" t="n">
        <v>3</v>
      </c>
      <c r="D2" s="16" t="n">
        <v>3</v>
      </c>
      <c r="E2" s="8" t="n">
        <f aca="false">IF(C2=0,"-",D2/C2)</f>
        <v>1</v>
      </c>
      <c r="G2" s="15" t="s">
        <v>45</v>
      </c>
      <c r="H2" s="16" t="n">
        <f aca="false">SUMIF($B$2:$B$21,G2,$C$2:$C$21)</f>
        <v>29</v>
      </c>
      <c r="I2" s="16" t="n">
        <f aca="false">SUMIF($B$2:$B$21,G2,$D$2:$D$21)</f>
        <v>27</v>
      </c>
      <c r="J2" s="16" t="n">
        <f aca="false">H2-I2</f>
        <v>2</v>
      </c>
      <c r="K2" s="18" t="n">
        <f aca="false">IF(H2=0,0,I2/H2)</f>
        <v>0.931034482758621</v>
      </c>
    </row>
    <row r="3" customFormat="false" ht="15" hidden="false" customHeight="false" outlineLevel="0" collapsed="false">
      <c r="A3" s="14" t="s">
        <v>34</v>
      </c>
      <c r="B3" s="15" t="s">
        <v>46</v>
      </c>
      <c r="C3" s="16" t="n">
        <v>8</v>
      </c>
      <c r="D3" s="16" t="n">
        <v>7</v>
      </c>
      <c r="E3" s="8" t="n">
        <f aca="false">IF(C3=0,"-",D3/C3)</f>
        <v>0.875</v>
      </c>
      <c r="G3" s="15" t="s">
        <v>46</v>
      </c>
      <c r="H3" s="16" t="n">
        <f aca="false">SUMIF($B$2:$B$21,G3,$C$2:$C$21)</f>
        <v>32</v>
      </c>
      <c r="I3" s="16" t="n">
        <f aca="false">SUMIF($B$2:$B$21,G3,$D$2:$D$21)</f>
        <v>28</v>
      </c>
      <c r="J3" s="16" t="n">
        <f aca="false">H3-I3</f>
        <v>4</v>
      </c>
      <c r="K3" s="18" t="n">
        <f aca="false">IF(H3=0,0,I3/H3)</f>
        <v>0.875</v>
      </c>
    </row>
    <row r="4" customFormat="false" ht="15" hidden="false" customHeight="false" outlineLevel="0" collapsed="false">
      <c r="A4" s="14" t="s">
        <v>34</v>
      </c>
      <c r="B4" s="15" t="s">
        <v>47</v>
      </c>
      <c r="C4" s="16" t="n">
        <v>0</v>
      </c>
      <c r="D4" s="16" t="n">
        <v>0</v>
      </c>
      <c r="E4" s="8" t="str">
        <f aca="false">IF(C4=0,"-",D4/C4)</f>
        <v>-</v>
      </c>
      <c r="G4" s="15" t="s">
        <v>47</v>
      </c>
      <c r="H4" s="16" t="n">
        <f aca="false">SUMIF($B$2:$B$21,G4,$C$2:$C$21)</f>
        <v>26</v>
      </c>
      <c r="I4" s="16" t="n">
        <f aca="false">SUMIF($B$2:$B$21,G4,$D$2:$D$21)</f>
        <v>22</v>
      </c>
      <c r="J4" s="16" t="n">
        <f aca="false">H4-I4</f>
        <v>4</v>
      </c>
      <c r="K4" s="18" t="n">
        <f aca="false">IF(H4=0,0,I4/H4)</f>
        <v>0.846153846153846</v>
      </c>
    </row>
    <row r="5" customFormat="false" ht="15" hidden="false" customHeight="false" outlineLevel="0" collapsed="false">
      <c r="A5" s="14" t="s">
        <v>34</v>
      </c>
      <c r="B5" s="15" t="s">
        <v>48</v>
      </c>
      <c r="C5" s="16" t="n">
        <v>3</v>
      </c>
      <c r="D5" s="16" t="n">
        <v>1</v>
      </c>
      <c r="E5" s="8" t="n">
        <f aca="false">IF(C5=0,"-",D5/C5)</f>
        <v>0.333333333333333</v>
      </c>
      <c r="G5" s="15" t="s">
        <v>48</v>
      </c>
      <c r="H5" s="16" t="n">
        <f aca="false">SUMIF($B$2:$B$21,G5,$C$2:$C$21)</f>
        <v>17</v>
      </c>
      <c r="I5" s="16" t="n">
        <f aca="false">SUMIF($B$2:$B$21,G5,$D$2:$D$21)</f>
        <v>11</v>
      </c>
      <c r="J5" s="16" t="n">
        <f aca="false">H5-I5</f>
        <v>6</v>
      </c>
      <c r="K5" s="18" t="n">
        <f aca="false">IF(H5=0,0,I5/H5)</f>
        <v>0.647058823529412</v>
      </c>
    </row>
    <row r="6" customFormat="false" ht="15" hidden="false" customHeight="false" outlineLevel="0" collapsed="false">
      <c r="A6" s="14" t="s">
        <v>38</v>
      </c>
      <c r="B6" s="15" t="s">
        <v>45</v>
      </c>
      <c r="C6" s="16" t="n">
        <v>9</v>
      </c>
      <c r="D6" s="16" t="n">
        <v>9</v>
      </c>
      <c r="E6" s="8" t="n">
        <f aca="false">IF(C6=0,"-",D6/C6)</f>
        <v>1</v>
      </c>
      <c r="G6" s="19" t="s">
        <v>39</v>
      </c>
      <c r="H6" s="20" t="n">
        <f aca="false">SUM(H2:H5)</f>
        <v>104</v>
      </c>
      <c r="I6" s="20" t="n">
        <f aca="false">SUM(I2:I5)</f>
        <v>88</v>
      </c>
      <c r="J6" s="20" t="n">
        <f aca="false">SUM(J2:J5)</f>
        <v>16</v>
      </c>
      <c r="K6" s="22" t="n">
        <f aca="false">IF(H6=0,0,I6/H6)</f>
        <v>0.846153846153846</v>
      </c>
    </row>
    <row r="7" customFormat="false" ht="15" hidden="false" customHeight="false" outlineLevel="0" collapsed="false">
      <c r="A7" s="14" t="s">
        <v>38</v>
      </c>
      <c r="B7" s="15" t="s">
        <v>46</v>
      </c>
      <c r="C7" s="16" t="n">
        <v>9</v>
      </c>
      <c r="D7" s="16" t="n">
        <v>7</v>
      </c>
      <c r="E7" s="8" t="n">
        <f aca="false">IF(C7=0,"-",D7/C7)</f>
        <v>0.777777777777778</v>
      </c>
    </row>
    <row r="8" customFormat="false" ht="15" hidden="false" customHeight="false" outlineLevel="0" collapsed="false">
      <c r="A8" s="14" t="s">
        <v>38</v>
      </c>
      <c r="B8" s="15" t="s">
        <v>47</v>
      </c>
      <c r="C8" s="16" t="n">
        <v>6</v>
      </c>
      <c r="D8" s="16" t="n">
        <v>6</v>
      </c>
      <c r="E8" s="8" t="n">
        <f aca="false">IF(C8=0,"-",D8/C8)</f>
        <v>1</v>
      </c>
    </row>
    <row r="9" customFormat="false" ht="15" hidden="false" customHeight="false" outlineLevel="0" collapsed="false">
      <c r="A9" s="14" t="s">
        <v>38</v>
      </c>
      <c r="B9" s="15" t="s">
        <v>48</v>
      </c>
      <c r="C9" s="16" t="n">
        <v>3</v>
      </c>
      <c r="D9" s="16" t="n">
        <v>3</v>
      </c>
      <c r="E9" s="8" t="n">
        <f aca="false">IF(C9=0,"-",D9/C9)</f>
        <v>1</v>
      </c>
      <c r="G9" s="13" t="s">
        <v>27</v>
      </c>
      <c r="H9" s="13" t="s">
        <v>44</v>
      </c>
      <c r="I9" s="13" t="s">
        <v>12</v>
      </c>
      <c r="J9" s="13" t="s">
        <v>13</v>
      </c>
      <c r="K9" s="13" t="s">
        <v>14</v>
      </c>
    </row>
    <row r="10" customFormat="false" ht="15" hidden="false" customHeight="false" outlineLevel="0" collapsed="false">
      <c r="A10" s="14" t="s">
        <v>40</v>
      </c>
      <c r="B10" s="15" t="s">
        <v>45</v>
      </c>
      <c r="C10" s="16" t="n">
        <v>8</v>
      </c>
      <c r="D10" s="16" t="n">
        <v>8</v>
      </c>
      <c r="E10" s="8" t="n">
        <f aca="false">IF(C10=0,"-",D10/C10)</f>
        <v>1</v>
      </c>
      <c r="G10" s="14" t="s">
        <v>34</v>
      </c>
      <c r="H10" s="16" t="n">
        <f aca="false">SUMIF($A$2:$A$21,G10,$C$2:$C$21)</f>
        <v>14</v>
      </c>
      <c r="I10" s="16" t="n">
        <f aca="false">SUMIF($A$2:$A$21,G10,$D$2:$D$21)</f>
        <v>11</v>
      </c>
      <c r="J10" s="16" t="n">
        <f aca="false">H10-I10</f>
        <v>3</v>
      </c>
      <c r="K10" s="18" t="n">
        <f aca="false">IF(H10=0,0,I10/H10)</f>
        <v>0.785714285714286</v>
      </c>
    </row>
    <row r="11" customFormat="false" ht="15" hidden="false" customHeight="false" outlineLevel="0" collapsed="false">
      <c r="A11" s="14" t="s">
        <v>40</v>
      </c>
      <c r="B11" s="15" t="s">
        <v>46</v>
      </c>
      <c r="C11" s="16" t="n">
        <v>4</v>
      </c>
      <c r="D11" s="16" t="n">
        <v>3</v>
      </c>
      <c r="E11" s="8" t="n">
        <f aca="false">IF(C11=0,"-",D11/C11)</f>
        <v>0.75</v>
      </c>
      <c r="G11" s="14" t="s">
        <v>38</v>
      </c>
      <c r="H11" s="16" t="n">
        <f aca="false">SUMIF($A$2:$A$21,G11,$C$2:$C$21)</f>
        <v>27</v>
      </c>
      <c r="I11" s="16" t="n">
        <f aca="false">SUMIF($A$2:$A$21,G11,$D$2:$D$21)</f>
        <v>25</v>
      </c>
      <c r="J11" s="16" t="n">
        <f aca="false">H11-I11</f>
        <v>2</v>
      </c>
      <c r="K11" s="18" t="n">
        <f aca="false">IF(H11=0,0,I11/H11)</f>
        <v>0.925925925925926</v>
      </c>
    </row>
    <row r="12" customFormat="false" ht="15" hidden="false" customHeight="false" outlineLevel="0" collapsed="false">
      <c r="A12" s="14" t="s">
        <v>40</v>
      </c>
      <c r="B12" s="15" t="s">
        <v>47</v>
      </c>
      <c r="C12" s="16" t="n">
        <v>2</v>
      </c>
      <c r="D12" s="16" t="n">
        <v>0</v>
      </c>
      <c r="E12" s="8" t="n">
        <f aca="false">IF(C12=0,"-",D12/C12)</f>
        <v>0</v>
      </c>
      <c r="G12" s="14" t="s">
        <v>40</v>
      </c>
      <c r="H12" s="16" t="n">
        <f aca="false">SUMIF($A$2:$A$21,G12,$C$2:$C$21)</f>
        <v>15</v>
      </c>
      <c r="I12" s="16" t="n">
        <f aca="false">SUMIF($A$2:$A$21,G12,$D$2:$D$21)</f>
        <v>11</v>
      </c>
      <c r="J12" s="16" t="n">
        <f aca="false">H12-I12</f>
        <v>4</v>
      </c>
      <c r="K12" s="18" t="n">
        <f aca="false">IF(H12=0,0,I12/H12)</f>
        <v>0.733333333333333</v>
      </c>
    </row>
    <row r="13" customFormat="false" ht="15" hidden="false" customHeight="false" outlineLevel="0" collapsed="false">
      <c r="A13" s="14" t="s">
        <v>40</v>
      </c>
      <c r="B13" s="15" t="s">
        <v>48</v>
      </c>
      <c r="C13" s="16" t="n">
        <v>1</v>
      </c>
      <c r="D13" s="16" t="n">
        <v>0</v>
      </c>
      <c r="E13" s="8" t="n">
        <f aca="false">IF(C13=0,"-",D13/C13)</f>
        <v>0</v>
      </c>
      <c r="G13" s="14" t="s">
        <v>41</v>
      </c>
      <c r="H13" s="16" t="n">
        <f aca="false">SUMIF($A$2:$A$21,G13,$C$2:$C$21)</f>
        <v>22</v>
      </c>
      <c r="I13" s="16" t="n">
        <f aca="false">SUMIF($A$2:$A$21,G13,$D$2:$D$21)</f>
        <v>17</v>
      </c>
      <c r="J13" s="16" t="n">
        <f aca="false">H13-I13</f>
        <v>5</v>
      </c>
      <c r="K13" s="18" t="n">
        <f aca="false">IF(H13=0,0,I13/H13)</f>
        <v>0.772727272727273</v>
      </c>
    </row>
    <row r="14" customFormat="false" ht="15" hidden="false" customHeight="false" outlineLevel="0" collapsed="false">
      <c r="A14" s="14" t="s">
        <v>41</v>
      </c>
      <c r="B14" s="15" t="s">
        <v>45</v>
      </c>
      <c r="C14" s="16" t="n">
        <v>8</v>
      </c>
      <c r="D14" s="16" t="n">
        <v>6</v>
      </c>
      <c r="E14" s="8" t="n">
        <f aca="false">IF(C14=0,"-",D14/C14)</f>
        <v>0.75</v>
      </c>
      <c r="G14" s="14" t="s">
        <v>42</v>
      </c>
      <c r="H14" s="16" t="n">
        <f aca="false">SUMIF($A$2:$A$21,G14,$C$2:$C$21)</f>
        <v>26</v>
      </c>
      <c r="I14" s="16" t="n">
        <f aca="false">SUMIF($A$2:$A$21,G14,$D$2:$D$21)</f>
        <v>24</v>
      </c>
      <c r="J14" s="16" t="n">
        <f aca="false">H14-I14</f>
        <v>2</v>
      </c>
      <c r="K14" s="18" t="n">
        <f aca="false">IF(H14=0,0,I14/H14)</f>
        <v>0.923076923076923</v>
      </c>
    </row>
    <row r="15" customFormat="false" ht="15" hidden="false" customHeight="false" outlineLevel="0" collapsed="false">
      <c r="A15" s="14" t="s">
        <v>41</v>
      </c>
      <c r="B15" s="15" t="s">
        <v>46</v>
      </c>
      <c r="C15" s="16" t="n">
        <v>2</v>
      </c>
      <c r="D15" s="16" t="n">
        <v>2</v>
      </c>
      <c r="E15" s="8" t="n">
        <f aca="false">IF(C15=0,"-",D15/C15)</f>
        <v>1</v>
      </c>
      <c r="G15" s="19" t="s">
        <v>39</v>
      </c>
      <c r="H15" s="20" t="n">
        <f aca="false">SUM(H10:H14)</f>
        <v>104</v>
      </c>
      <c r="I15" s="20" t="n">
        <f aca="false">SUM(I10:I14)</f>
        <v>88</v>
      </c>
      <c r="J15" s="20" t="n">
        <f aca="false">SUM(J10:J14)</f>
        <v>16</v>
      </c>
      <c r="K15" s="22" t="n">
        <f aca="false">IF(H15=0,0,I15/H15)</f>
        <v>0.846153846153846</v>
      </c>
    </row>
    <row r="16" customFormat="false" ht="15" hidden="false" customHeight="false" outlineLevel="0" collapsed="false">
      <c r="A16" s="14" t="s">
        <v>41</v>
      </c>
      <c r="B16" s="15" t="s">
        <v>47</v>
      </c>
      <c r="C16" s="16" t="n">
        <v>9</v>
      </c>
      <c r="D16" s="16" t="n">
        <v>7</v>
      </c>
      <c r="E16" s="8" t="n">
        <f aca="false">IF(C16=0,"-",D16/C16)</f>
        <v>0.777777777777778</v>
      </c>
    </row>
    <row r="17" customFormat="false" ht="15" hidden="false" customHeight="false" outlineLevel="0" collapsed="false">
      <c r="A17" s="14" t="s">
        <v>41</v>
      </c>
      <c r="B17" s="15" t="s">
        <v>48</v>
      </c>
      <c r="C17" s="16" t="n">
        <v>3</v>
      </c>
      <c r="D17" s="16" t="n">
        <v>2</v>
      </c>
      <c r="E17" s="8" t="n">
        <f aca="false">IF(C17=0,"-",D17/C17)</f>
        <v>0.666666666666667</v>
      </c>
      <c r="G17" s="24" t="s">
        <v>49</v>
      </c>
    </row>
    <row r="18" customFormat="false" ht="15" hidden="false" customHeight="false" outlineLevel="0" collapsed="false">
      <c r="A18" s="14" t="s">
        <v>42</v>
      </c>
      <c r="B18" s="15" t="s">
        <v>45</v>
      </c>
      <c r="C18" s="16" t="n">
        <v>1</v>
      </c>
      <c r="D18" s="16" t="n">
        <v>1</v>
      </c>
      <c r="E18" s="8" t="n">
        <f aca="false">IF(C18=0,"-",D18/C18)</f>
        <v>1</v>
      </c>
    </row>
    <row r="19" customFormat="false" ht="15" hidden="false" customHeight="false" outlineLevel="0" collapsed="false">
      <c r="A19" s="14" t="s">
        <v>42</v>
      </c>
      <c r="B19" s="15" t="s">
        <v>46</v>
      </c>
      <c r="C19" s="16" t="n">
        <v>9</v>
      </c>
      <c r="D19" s="16" t="n">
        <v>9</v>
      </c>
      <c r="E19" s="8" t="n">
        <f aca="false">IF(C19=0,"-",D19/C19)</f>
        <v>1</v>
      </c>
    </row>
    <row r="20" customFormat="false" ht="15" hidden="false" customHeight="false" outlineLevel="0" collapsed="false">
      <c r="A20" s="14" t="s">
        <v>42</v>
      </c>
      <c r="B20" s="15" t="s">
        <v>47</v>
      </c>
      <c r="C20" s="16" t="n">
        <v>9</v>
      </c>
      <c r="D20" s="16" t="n">
        <v>9</v>
      </c>
      <c r="E20" s="8" t="n">
        <f aca="false">IF(C20=0,"-",D20/C20)</f>
        <v>1</v>
      </c>
    </row>
    <row r="21" customFormat="false" ht="15" hidden="false" customHeight="false" outlineLevel="0" collapsed="false">
      <c r="A21" s="14" t="s">
        <v>42</v>
      </c>
      <c r="B21" s="15" t="s">
        <v>48</v>
      </c>
      <c r="C21" s="16" t="n">
        <v>7</v>
      </c>
      <c r="D21" s="16" t="n">
        <v>5</v>
      </c>
      <c r="E21" s="8" t="n">
        <f aca="false">IF(C21=0,"-",D21/C21)</f>
        <v>0.714285714285714</v>
      </c>
    </row>
    <row r="22" customFormat="false" ht="15" hidden="false" customHeight="false" outlineLevel="0" collapsed="false">
      <c r="A22" s="19" t="s">
        <v>39</v>
      </c>
      <c r="B22" s="23"/>
      <c r="C22" s="20" t="n">
        <f aca="false">SUM(C2:C21)</f>
        <v>104</v>
      </c>
      <c r="D22" s="20" t="n">
        <f aca="false">SUM(D2:D21)</f>
        <v>88</v>
      </c>
      <c r="E22" s="22" t="n">
        <f aca="false">IF(C22=0,"-",D22/C22)</f>
        <v>0.846153846153846</v>
      </c>
    </row>
  </sheetData>
  <conditionalFormatting sqref="K2:K5">
    <cfRule type="cellIs" priority="2" operator="lessThan" aboveAverage="0" equalAverage="0" bottom="0" percent="0" rank="0" text="" dxfId="0">
      <formula>0.8</formula>
    </cfRule>
  </conditionalFormatting>
  <conditionalFormatting sqref="K10:K14">
    <cfRule type="cellIs" priority="3" operator="lessThan" aboveAverage="0" equalAverage="0" bottom="0" percent="0" rank="0" text="" dxfId="0">
      <formula>0.8</formula>
    </cfRule>
  </conditionalFormatting>
  <conditionalFormatting sqref="E2:E21">
    <cfRule type="expression" priority="4" aboveAverage="0" equalAverage="0" bottom="0" percent="0" rank="0" text="" dxfId="0">
      <formula>AND(ISNUMBER(E2),E2&lt;0.8)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3" t="s">
        <v>50</v>
      </c>
      <c r="B1" s="13" t="s">
        <v>51</v>
      </c>
      <c r="C1" s="13" t="s">
        <v>52</v>
      </c>
      <c r="D1" s="13" t="s">
        <v>53</v>
      </c>
      <c r="F1" s="13" t="s">
        <v>52</v>
      </c>
      <c r="G1" s="13" t="s">
        <v>54</v>
      </c>
      <c r="H1" s="13" t="s">
        <v>55</v>
      </c>
    </row>
    <row r="2" customFormat="false" ht="15" hidden="false" customHeight="false" outlineLevel="0" collapsed="false">
      <c r="A2" s="15" t="s">
        <v>56</v>
      </c>
      <c r="B2" s="25" t="s">
        <v>57</v>
      </c>
      <c r="C2" s="25" t="s">
        <v>58</v>
      </c>
      <c r="D2" s="14" t="s">
        <v>59</v>
      </c>
      <c r="F2" s="25" t="s">
        <v>58</v>
      </c>
      <c r="G2" s="16" t="n">
        <f aca="false">COUNTIF($C$2:$C$6,F2)</f>
        <v>2</v>
      </c>
      <c r="H2" s="18" t="n">
        <f aca="false">IF($G$5=0,0,G2/$G$5)</f>
        <v>0.4</v>
      </c>
    </row>
    <row r="3" customFormat="false" ht="15" hidden="false" customHeight="false" outlineLevel="0" collapsed="false">
      <c r="A3" s="15" t="s">
        <v>60</v>
      </c>
      <c r="B3" s="25" t="s">
        <v>61</v>
      </c>
      <c r="C3" s="25" t="s">
        <v>62</v>
      </c>
      <c r="D3" s="14" t="s">
        <v>63</v>
      </c>
      <c r="F3" s="25" t="s">
        <v>62</v>
      </c>
      <c r="G3" s="16" t="n">
        <f aca="false">COUNTIF($C$2:$C$6,F3)</f>
        <v>2</v>
      </c>
      <c r="H3" s="18" t="n">
        <f aca="false">IF($G$5=0,0,G3/$G$5)</f>
        <v>0.4</v>
      </c>
    </row>
    <row r="4" customFormat="false" ht="15" hidden="false" customHeight="false" outlineLevel="0" collapsed="false">
      <c r="A4" s="15" t="s">
        <v>64</v>
      </c>
      <c r="B4" s="25" t="s">
        <v>65</v>
      </c>
      <c r="C4" s="25" t="s">
        <v>62</v>
      </c>
      <c r="D4" s="14" t="s">
        <v>66</v>
      </c>
      <c r="F4" s="25" t="s">
        <v>67</v>
      </c>
      <c r="G4" s="16" t="n">
        <f aca="false">COUNTIF($C$2:$C$6,F4)</f>
        <v>1</v>
      </c>
      <c r="H4" s="18" t="n">
        <f aca="false">IF($G$5=0,0,G4/$G$5)</f>
        <v>0.2</v>
      </c>
    </row>
    <row r="5" customFormat="false" ht="15" hidden="false" customHeight="false" outlineLevel="0" collapsed="false">
      <c r="A5" s="15" t="s">
        <v>68</v>
      </c>
      <c r="B5" s="25" t="s">
        <v>69</v>
      </c>
      <c r="C5" s="25" t="s">
        <v>67</v>
      </c>
      <c r="D5" s="14" t="s">
        <v>70</v>
      </c>
      <c r="F5" s="19" t="s">
        <v>39</v>
      </c>
      <c r="G5" s="20" t="n">
        <f aca="false">SUM(G2:G4)</f>
        <v>5</v>
      </c>
      <c r="H5" s="22" t="n">
        <f aca="false">SUM(H2:H4)</f>
        <v>1</v>
      </c>
    </row>
    <row r="6" customFormat="false" ht="15" hidden="false" customHeight="false" outlineLevel="0" collapsed="false">
      <c r="A6" s="26" t="s">
        <v>71</v>
      </c>
      <c r="B6" s="25" t="s">
        <v>57</v>
      </c>
      <c r="C6" s="25" t="s">
        <v>58</v>
      </c>
      <c r="D6" s="14" t="s">
        <v>72</v>
      </c>
    </row>
  </sheetData>
  <conditionalFormatting sqref="A2:D6">
    <cfRule type="expression" priority="2" aboveAverage="0" equalAverage="0" bottom="0" percent="0" rank="0" text="" dxfId="1">
      <formula>$C2="완료"</formula>
    </cfRule>
    <cfRule type="expression" priority="3" aboveAverage="0" equalAverage="0" bottom="0" percent="0" rank="0" text="" dxfId="2">
      <formula>$C2="진행 중"</formula>
    </cfRule>
    <cfRule type="expression" priority="4" aboveAverage="0" equalAverage="0" bottom="0" percent="0" rank="0" text="" dxfId="3">
      <formula>$C2="대기"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2026-10-20T05:27:09Z</dcterms:created>
  <dc:creator>openpyxl</dc:creator>
  <dc:description/>
  <dc:language>en-US</dc:language>
  <cp:lastModifiedBy/>
  <dcterms:modified xsi:type="dcterms:W3CDTF">2026-10-20T05:27:11Z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