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간회의" sheetId="1" state="visible" r:id="rId3"/>
  </sheets>
  <definedNames>
    <definedName function="false" hidden="false" localSheetId="0" name="_xlnm.Print_Area" vbProcedure="false">주간회의!$A$1:$F$79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<sst xmlns="http://schemas.openxmlformats.org/spreadsheetml/2006/main" count="140" uniqueCount="55">
  <si>
    <r>
      <rPr>
        <b val="true"/>
        <sz val="15"/>
        <color rgb="FF1F3864"/>
        <rFont val="WenQuanYi Zen Hei"/>
        <family val="2"/>
      </rPr>
      <t xml:space="preserve">주간 회의 보고 </t>
    </r>
    <r>
      <rPr>
        <b val="true"/>
        <sz val="15"/>
        <color rgb="FF1F3864"/>
        <rFont val="맑은 고딕"/>
        <family val="0"/>
        <charset val="1"/>
      </rPr>
      <t xml:space="preserve">(2026. 10/5(</t>
    </r>
    <r>
      <rPr>
        <b val="true"/>
        <sz val="15"/>
        <color rgb="FF1F3864"/>
        <rFont val="WenQuanYi Zen Hei"/>
        <family val="2"/>
      </rPr>
      <t xml:space="preserve">월</t>
    </r>
    <r>
      <rPr>
        <b val="true"/>
        <sz val="15"/>
        <color rgb="FF1F3864"/>
        <rFont val="맑은 고딕"/>
        <family val="0"/>
        <charset val="1"/>
      </rPr>
      <t xml:space="preserve">) ~ 10/9(</t>
    </r>
    <r>
      <rPr>
        <b val="true"/>
        <sz val="15"/>
        <color rgb="FF1F3864"/>
        <rFont val="WenQuanYi Zen Hei"/>
        <family val="2"/>
      </rPr>
      <t xml:space="preserve">금</t>
    </r>
    <r>
      <rPr>
        <b val="true"/>
        <sz val="15"/>
        <color rgb="FF1F3864"/>
        <rFont val="맑은 고딕"/>
        <family val="0"/>
        <charset val="1"/>
      </rPr>
      <t xml:space="preserve">))</t>
    </r>
  </si>
  <si>
    <t xml:space="preserve">차주 시작일</t>
  </si>
  <si>
    <t xml:space="preserve">← 마감 경과 판정 기준</t>
  </si>
  <si>
    <t xml:space="preserve">핵심 요약</t>
  </si>
  <si>
    <r>
      <rPr>
        <b val="true"/>
        <sz val="11"/>
        <color rgb="FF1F3864"/>
        <rFont val="WenQuanYi Zen Hei"/>
        <family val="2"/>
      </rPr>
      <t xml:space="preserve">차주 할 일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미완료 업무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</si>
  <si>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업무</t>
  </si>
  <si>
    <t xml:space="preserve">담당</t>
  </si>
  <si>
    <t xml:space="preserve">상태</t>
  </si>
  <si>
    <t xml:space="preserve">마감</t>
  </si>
  <si>
    <t xml:space="preserve">마감 경과</t>
  </si>
  <si>
    <r>
      <rPr>
        <b val="true"/>
        <sz val="10"/>
        <color rgb="FFFFFFFF"/>
        <rFont val="WenQuanYi Zen Hei"/>
        <family val="2"/>
      </rPr>
      <t xml:space="preserve">차주 목표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메모</t>
    </r>
  </si>
  <si>
    <t xml:space="preserve">※ 노란 칸은 회의에서 작성</t>
  </si>
  <si>
    <r>
      <rPr>
        <b val="true"/>
        <sz val="11"/>
        <color rgb="FF1F3864"/>
        <rFont val="WenQuanYi Zen Hei"/>
        <family val="2"/>
      </rPr>
      <t xml:space="preserve">근거 자료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원본 세 파일 그대로</t>
    </r>
    <r>
      <rPr>
        <b val="true"/>
        <sz val="11"/>
        <color rgb="FF1F3864"/>
        <rFont val="맑은 고딕"/>
        <family val="0"/>
        <charset val="1"/>
      </rPr>
      <t xml:space="preserve">, </t>
    </r>
    <r>
      <rPr>
        <b val="true"/>
        <sz val="11"/>
        <color rgb="FF1F3864"/>
        <rFont val="WenQuanYi Zen Hei"/>
        <family val="2"/>
      </rPr>
      <t xml:space="preserve">위 수치는 모두 이 범위를 참조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</si>
  <si>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매출</t>
  </si>
  <si>
    <t xml:space="preserve">날짜</t>
  </si>
  <si>
    <t xml:space="preserve">상품</t>
  </si>
  <si>
    <t xml:space="preserve">수량</t>
  </si>
  <si>
    <t xml:space="preserve">단가</t>
  </si>
  <si>
    <r>
      <rPr>
        <sz val="9"/>
        <rFont val="맑은 고딕"/>
        <family val="0"/>
        <charset val="1"/>
      </rPr>
      <t xml:space="preserve">10/5(</t>
    </r>
    <r>
      <rPr>
        <sz val="9"/>
        <rFont val="WenQuanYi Zen Hei"/>
        <family val="2"/>
      </rPr>
      <t xml:space="preserve">월</t>
    </r>
    <r>
      <rPr>
        <sz val="9"/>
        <rFont val="맑은 고딕"/>
        <family val="0"/>
        <charset val="1"/>
      </rPr>
      <t xml:space="preserve">)</t>
    </r>
  </si>
  <si>
    <t xml:space="preserve">커피 원두</t>
  </si>
  <si>
    <t xml:space="preserve">드립백</t>
  </si>
  <si>
    <t xml:space="preserve">머그컵</t>
  </si>
  <si>
    <r>
      <rPr>
        <sz val="9"/>
        <rFont val="맑은 고딕"/>
        <family val="0"/>
        <charset val="1"/>
      </rPr>
      <t xml:space="preserve">10/6(</t>
    </r>
    <r>
      <rPr>
        <sz val="9"/>
        <rFont val="WenQuanYi Zen Hei"/>
        <family val="2"/>
      </rPr>
      <t xml:space="preserve">화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</si>
  <si>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10/7(</t>
    </r>
    <r>
      <rPr>
        <sz val="9"/>
        <rFont val="WenQuanYi Zen Hei"/>
        <family val="2"/>
      </rPr>
      <t xml:space="preserve">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</si>
  <si>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10/8(</t>
    </r>
    <r>
      <rPr>
        <sz val="9"/>
        <rFont val="WenQuanYi Zen Hei"/>
        <family val="2"/>
      </rPr>
      <t xml:space="preserve">목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</si>
  <si>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10/9(</t>
    </r>
    <r>
      <rPr>
        <sz val="9"/>
        <rFont val="WenQuanYi Zen Hei"/>
        <family val="2"/>
      </rPr>
      <t xml:space="preserve">금</t>
    </r>
    <r>
      <rPr>
        <sz val="9"/>
        <rFont val="맑은 고딕"/>
        <family val="0"/>
        <charset val="1"/>
      </rPr>
      <t xml:space="preserve">)</t>
    </r>
  </si>
  <si>
    <t xml:space="preserve">합계</t>
  </si>
  <si>
    <t xml:space="preserve">매출 상품별</t>
  </si>
  <si>
    <t xml:space="preserve">고객문의</t>
  </si>
  <si>
    <t xml:space="preserve">유형</t>
  </si>
  <si>
    <t xml:space="preserve">접수</t>
  </si>
  <si>
    <t xml:space="preserve">처리 완료</t>
  </si>
  <si>
    <t xml:space="preserve">배송 문의</t>
  </si>
  <si>
    <r>
      <rPr>
        <sz val="9"/>
        <rFont val="WenQuanYi Zen Hei"/>
        <family val="2"/>
      </rPr>
      <t xml:space="preserve">교환</t>
    </r>
    <r>
      <rPr>
        <sz val="9"/>
        <rFont val="맑은 고딕"/>
        <family val="0"/>
        <charset val="1"/>
      </rPr>
      <t xml:space="preserve">·</t>
    </r>
    <r>
      <rPr>
        <sz val="9"/>
        <rFont val="WenQuanYi Zen Hei"/>
        <family val="2"/>
      </rPr>
      <t xml:space="preserve">반품</t>
    </r>
  </si>
  <si>
    <t xml:space="preserve">상품 문의</t>
  </si>
  <si>
    <t xml:space="preserve">결제 오류</t>
  </si>
  <si>
    <t xml:space="preserve">고객문의 유형별</t>
  </si>
  <si>
    <t xml:space="preserve">미처리</t>
  </si>
  <si>
    <t xml:space="preserve">가을 신메뉴 사진 촬영</t>
  </si>
  <si>
    <t xml:space="preserve">김대리</t>
  </si>
  <si>
    <t xml:space="preserve">완료</t>
  </si>
  <si>
    <t xml:space="preserve">10/7</t>
  </si>
  <si>
    <t xml:space="preserve">추석 선물세트 재고 정리</t>
  </si>
  <si>
    <t xml:space="preserve">박주임</t>
  </si>
  <si>
    <t xml:space="preserve">진행 중</t>
  </si>
  <si>
    <t xml:space="preserve">10/14</t>
  </si>
  <si>
    <t xml:space="preserve">스마트스토어 상세페이지 수정</t>
  </si>
  <si>
    <t xml:space="preserve">이과장</t>
  </si>
  <si>
    <t xml:space="preserve">10/11</t>
  </si>
  <si>
    <t xml:space="preserve">원두 납품처 단가 협상</t>
  </si>
  <si>
    <t xml:space="preserve">최팀장</t>
  </si>
  <si>
    <t xml:space="preserve">대기</t>
  </si>
  <si>
    <t xml:space="preserve">10/17</t>
  </si>
  <si>
    <r>
      <rPr>
        <sz val="9"/>
        <rFont val="맑은 고딕"/>
        <family val="0"/>
        <charset val="1"/>
      </rPr>
      <t xml:space="preserve">10</t>
    </r>
    <r>
      <rPr>
        <sz val="9"/>
        <rFont val="WenQuanYi Zen Hei"/>
        <family val="2"/>
      </rPr>
      <t xml:space="preserve">월 이벤트 공지</t>
    </r>
  </si>
  <si>
    <t xml:space="preserve">10/8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</si>
</sst>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WenQuanYi Zen Hei"/>
      <family val="2"/>
    </font>
    <font>
      <b val="true"/>
      <sz val="15"/>
      <color rgb="FF1F3864"/>
      <name val="맑은 고딕"/>
      <family val="0"/>
      <charset val="1"/>
    </font>
    <font>
      <b val="true"/>
      <sz val="10"/>
      <name val="WenQuanYi Zen Hei"/>
      <family val="2"/>
    </font>
    <font>
      <sz val="10"/>
      <name val="맑은 고딕"/>
      <family val="0"/>
      <charset val="1"/>
    </font>
    <font>
      <sz val="9"/>
      <color rgb="FF7F7F7F"/>
      <name val="WenQuanYi Zen Hei"/>
      <family val="2"/>
    </font>
    <font>
      <b val="true"/>
      <sz val="11"/>
      <color rgb="FF1F3864"/>
      <name val="WenQuanYi Zen Hei"/>
      <family val="2"/>
    </font>
    <font>
      <b val="true"/>
      <sz val="11"/>
      <name val="WenQuanYi Zen Hei"/>
      <family val="2"/>
    </font>
    <font>
      <b val="true"/>
      <sz val="11"/>
      <color rgb="FF1F3864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10"/>
      <name val="WenQuanYi Zen Hei"/>
      <family val="2"/>
    </font>
    <font>
      <b val="true"/>
      <sz val="9"/>
      <name val="WenQuanYi Zen Hei"/>
      <family val="2"/>
    </font>
    <font>
      <b val="true"/>
      <sz val="9"/>
      <color rgb="FFFFFFFF"/>
      <name val="WenQuanYi Zen Hei"/>
      <family val="2"/>
    </font>
    <font>
      <sz val="9"/>
      <name val="맑은 고딕"/>
      <family val="0"/>
      <charset val="1"/>
    </font>
    <font>
      <sz val="9"/>
      <name val="WenQuanYi Zen Hei"/>
      <family val="2"/>
    </font>
    <font>
      <b val="true"/>
      <sz val="9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2F5496"/>
        <bgColor rgb="FF1F3864"/>
      </patternFill>
    </fill>
    <fill>
      <patternFill patternType="solid">
        <fgColor rgb="FF8EA9D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맑은 고딕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EA9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46307</v>
      </c>
      <c r="C2" s="4" t="s">
        <v>2</v>
      </c>
    </row>
    <row r="4" customFormat="false" ht="15" hidden="false" customHeight="false" outlineLevel="0" collapsed="false">
      <c r="A4" s="5" t="s">
        <v>3</v>
      </c>
    </row>
    <row r="5" customFormat="false" ht="21.75" hidden="false" customHeight="true" outlineLevel="0" collapsed="false">
      <c r="A5" s="6" t="str">
        <f aca="false">"① 매출 "&amp;TEXT(E35,"#,##0")&amp;"원 · "&amp;TEXT(C35,"#,##0")&amp;"개 / 1위 "&amp;INDEX(A38:A40,MATCH(MAX(C38:C40),C38:C40,0))&amp;" "&amp;TEXT(MAX(C38:C40)/E35,"0.0%")</f>
        <v>① 매출 4,368,000원 · 322개 / 1위 커피 원두 51.9%</v>
      </c>
      <c r="B5" s="6"/>
      <c r="C5" s="6"/>
      <c r="D5" s="6"/>
      <c r="E5" s="6"/>
      <c r="F5" s="6"/>
    </row>
    <row r="6" customFormat="false" ht="21.75" hidden="false" customHeight="true" outlineLevel="0" collapsed="false">
      <c r="A6" s="6" t="str">
        <f aca="false">"② CS 접수 "&amp;C64&amp;"건, 처리 "&amp;D64&amp;"건("&amp;TEXT(D64/C64,"0.0%")&amp;") / 미처리 "&amp;(C64-D64)&amp;"건 중 최다 "&amp;INDEX(A67:A70,MATCH(MAX(D67:D70),D67:D70,0))&amp;" "&amp;MAX(D67:D70)&amp;"건"</f>
        <v>② CS 접수 104건, 처리 88건(84.6%) / 미처리 16건 중 최다 결제 오류 6건</v>
      </c>
      <c r="B6" s="6"/>
      <c r="C6" s="6"/>
      <c r="D6" s="6"/>
      <c r="E6" s="6"/>
      <c r="F6" s="6"/>
    </row>
    <row r="7" customFormat="false" ht="21.75" hidden="false" customHeight="true" outlineLevel="0" collapsed="false">
      <c r="A7" s="6" t="str">
        <f aca="false">"③ 업무 "&amp;COUNTA(A74:A78)&amp;"건 중 완료 "&amp;COUNTIF(C74:C78,"완료")&amp;"건, 미완료 "&amp;(COUNTA(A74:A78)-COUNTIF(C74:C78,"완료"))&amp;"건 → 아래 차주 할 일"</f>
        <v>③ 업무 5건 중 완료 2건, 미완료 3건 → 아래 차주 할 일</v>
      </c>
      <c r="B7" s="6"/>
      <c r="C7" s="6"/>
      <c r="D7" s="6"/>
      <c r="E7" s="6"/>
      <c r="F7" s="6"/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7" t="s">
        <v>5</v>
      </c>
      <c r="B10" s="7" t="s">
        <v>6</v>
      </c>
      <c r="C10" s="7" t="s">
        <v>7</v>
      </c>
      <c r="D10" s="7" t="s">
        <v>8</v>
      </c>
      <c r="E10" s="7" t="s">
        <v>9</v>
      </c>
      <c r="F10" s="7" t="s">
        <v>10</v>
      </c>
    </row>
    <row r="11" customFormat="false" ht="30" hidden="false" customHeight="true" outlineLevel="0" collapsed="false">
      <c r="A11" s="8" t="str">
        <f aca="false">A75</f>
        <v>추석 선물세트 재고 정리</v>
      </c>
      <c r="B11" s="9" t="str">
        <f aca="false">B75</f>
        <v>박주임</v>
      </c>
      <c r="C11" s="9" t="str">
        <f aca="false">C75</f>
        <v>진행 중</v>
      </c>
      <c r="D11" s="9" t="str">
        <f aca="false">D75</f>
        <v>10/14</v>
      </c>
      <c r="E11" s="10" t="str">
        <f aca="false">IF(DATE(YEAR($B$2),LEFT(D11,FIND("/",D11)-1),MID(D11,FIND("/",D11)+1,2))&lt;$B$2,"마감 경과","-")</f>
        <v>-</v>
      </c>
      <c r="F11" s="11"/>
    </row>
    <row r="12" customFormat="false" ht="30" hidden="false" customHeight="true" outlineLevel="0" collapsed="false">
      <c r="A12" s="8" t="str">
        <f aca="false">A76</f>
        <v>스마트스토어 상세페이지 수정</v>
      </c>
      <c r="B12" s="9" t="str">
        <f aca="false">B76</f>
        <v>이과장</v>
      </c>
      <c r="C12" s="9" t="str">
        <f aca="false">C76</f>
        <v>진행 중</v>
      </c>
      <c r="D12" s="9" t="str">
        <f aca="false">D76</f>
        <v>10/11</v>
      </c>
      <c r="E12" s="10" t="str">
        <f aca="false">IF(DATE(YEAR($B$2),LEFT(D12,FIND("/",D12)-1),MID(D12,FIND("/",D12)+1,2))&lt;$B$2,"마감 경과","-")</f>
        <v>마감 경과</v>
      </c>
      <c r="F12" s="11"/>
    </row>
    <row r="13" customFormat="false" ht="30" hidden="false" customHeight="true" outlineLevel="0" collapsed="false">
      <c r="A13" s="8" t="str">
        <f aca="false">A77</f>
        <v>원두 납품처 단가 협상</v>
      </c>
      <c r="B13" s="9" t="str">
        <f aca="false">B77</f>
        <v>최팀장</v>
      </c>
      <c r="C13" s="9" t="str">
        <f aca="false">C77</f>
        <v>대기</v>
      </c>
      <c r="D13" s="9" t="str">
        <f aca="false">D77</f>
        <v>10/17</v>
      </c>
      <c r="E13" s="10" t="str">
        <f aca="false">IF(DATE(YEAR($B$2),LEFT(D13,FIND("/",D13)-1),MID(D13,FIND("/",D13)+1,2))&lt;$B$2,"마감 경과","-")</f>
        <v>-</v>
      </c>
      <c r="F13" s="11"/>
    </row>
    <row r="14" customFormat="false" ht="15" hidden="false" customHeight="false" outlineLevel="0" collapsed="false">
      <c r="A14" s="4" t="s">
        <v>11</v>
      </c>
    </row>
    <row r="17" customFormat="false" ht="1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12" t="s">
        <v>13</v>
      </c>
    </row>
    <row r="19" customFormat="false" ht="15" hidden="false" customHeight="false" outlineLevel="0" collapsed="false">
      <c r="A19" s="13" t="s">
        <v>14</v>
      </c>
      <c r="B19" s="13" t="s">
        <v>15</v>
      </c>
      <c r="C19" s="13" t="s">
        <v>16</v>
      </c>
      <c r="D19" s="13" t="s">
        <v>17</v>
      </c>
      <c r="E19" s="13" t="s">
        <v>13</v>
      </c>
    </row>
    <row r="20" customFormat="false" ht="15" hidden="false" customHeight="false" outlineLevel="0" collapsed="false">
      <c r="A20" s="14" t="s">
        <v>18</v>
      </c>
      <c r="B20" s="15" t="s">
        <v>19</v>
      </c>
      <c r="C20" s="16" t="n">
        <v>28</v>
      </c>
      <c r="D20" s="16" t="n">
        <v>18000</v>
      </c>
      <c r="E20" s="16" t="n">
        <f aca="false">C20*D20</f>
        <v>504000</v>
      </c>
    </row>
    <row r="21" customFormat="false" ht="15" hidden="false" customHeight="false" outlineLevel="0" collapsed="false">
      <c r="A21" s="14" t="s">
        <v>18</v>
      </c>
      <c r="B21" s="15" t="s">
        <v>20</v>
      </c>
      <c r="C21" s="16" t="n">
        <v>17</v>
      </c>
      <c r="D21" s="16" t="n">
        <v>9000</v>
      </c>
      <c r="E21" s="16" t="n">
        <f aca="false">C21*D21</f>
        <v>153000</v>
      </c>
    </row>
    <row r="22" customFormat="false" ht="15" hidden="false" customHeight="false" outlineLevel="0" collapsed="false">
      <c r="A22" s="14" t="s">
        <v>18</v>
      </c>
      <c r="B22" s="15" t="s">
        <v>21</v>
      </c>
      <c r="C22" s="16" t="n">
        <v>33</v>
      </c>
      <c r="D22" s="16" t="n">
        <v>12000</v>
      </c>
      <c r="E22" s="16" t="n">
        <f aca="false">C22*D22</f>
        <v>396000</v>
      </c>
    </row>
    <row r="23" customFormat="false" ht="15" hidden="false" customHeight="false" outlineLevel="0" collapsed="false">
      <c r="A23" s="14" t="s">
        <v>22</v>
      </c>
      <c r="B23" s="15" t="s">
        <v>19</v>
      </c>
      <c r="C23" s="16" t="n">
        <v>11</v>
      </c>
      <c r="D23" s="16" t="n">
        <v>18000</v>
      </c>
      <c r="E23" s="16" t="n">
        <f aca="false">C23*D23</f>
        <v>198000</v>
      </c>
    </row>
    <row r="24" customFormat="false" ht="15" hidden="false" customHeight="false" outlineLevel="0" collapsed="false">
      <c r="A24" s="14" t="s">
        <v>22</v>
      </c>
      <c r="B24" s="15" t="s">
        <v>20</v>
      </c>
      <c r="C24" s="16" t="n">
        <v>12</v>
      </c>
      <c r="D24" s="16" t="n">
        <v>9000</v>
      </c>
      <c r="E24" s="16" t="n">
        <f aca="false">C24*D24</f>
        <v>108000</v>
      </c>
    </row>
    <row r="25" customFormat="false" ht="15" hidden="false" customHeight="false" outlineLevel="0" collapsed="false">
      <c r="A25" s="14" t="s">
        <v>22</v>
      </c>
      <c r="B25" s="15" t="s">
        <v>21</v>
      </c>
      <c r="C25" s="16" t="n">
        <v>14</v>
      </c>
      <c r="D25" s="16" t="n">
        <v>12000</v>
      </c>
      <c r="E25" s="16" t="n">
        <f aca="false">C25*D25</f>
        <v>168000</v>
      </c>
    </row>
    <row r="26" customFormat="false" ht="15" hidden="false" customHeight="false" outlineLevel="0" collapsed="false">
      <c r="A26" s="14" t="s">
        <v>23</v>
      </c>
      <c r="B26" s="15" t="s">
        <v>19</v>
      </c>
      <c r="C26" s="16" t="n">
        <v>31</v>
      </c>
      <c r="D26" s="16" t="n">
        <v>18000</v>
      </c>
      <c r="E26" s="16" t="n">
        <f aca="false">C26*D26</f>
        <v>558000</v>
      </c>
    </row>
    <row r="27" customFormat="false" ht="15" hidden="false" customHeight="false" outlineLevel="0" collapsed="false">
      <c r="A27" s="14" t="s">
        <v>23</v>
      </c>
      <c r="B27" s="15" t="s">
        <v>20</v>
      </c>
      <c r="C27" s="16" t="n">
        <v>11</v>
      </c>
      <c r="D27" s="16" t="n">
        <v>9000</v>
      </c>
      <c r="E27" s="16" t="n">
        <f aca="false">C27*D27</f>
        <v>99000</v>
      </c>
    </row>
    <row r="28" customFormat="false" ht="15" hidden="false" customHeight="false" outlineLevel="0" collapsed="false">
      <c r="A28" s="14" t="s">
        <v>23</v>
      </c>
      <c r="B28" s="15" t="s">
        <v>21</v>
      </c>
      <c r="C28" s="16" t="n">
        <v>40</v>
      </c>
      <c r="D28" s="16" t="n">
        <v>12000</v>
      </c>
      <c r="E28" s="16" t="n">
        <f aca="false">C28*D28</f>
        <v>480000</v>
      </c>
    </row>
    <row r="29" customFormat="false" ht="15" hidden="false" customHeight="false" outlineLevel="0" collapsed="false">
      <c r="A29" s="14" t="s">
        <v>24</v>
      </c>
      <c r="B29" s="15" t="s">
        <v>19</v>
      </c>
      <c r="C29" s="16" t="n">
        <v>21</v>
      </c>
      <c r="D29" s="16" t="n">
        <v>18000</v>
      </c>
      <c r="E29" s="16" t="n">
        <f aca="false">C29*D29</f>
        <v>378000</v>
      </c>
    </row>
    <row r="30" customFormat="false" ht="15" hidden="false" customHeight="false" outlineLevel="0" collapsed="false">
      <c r="A30" s="14" t="s">
        <v>24</v>
      </c>
      <c r="B30" s="15" t="s">
        <v>20</v>
      </c>
      <c r="C30" s="16" t="n">
        <v>10</v>
      </c>
      <c r="D30" s="16" t="n">
        <v>9000</v>
      </c>
      <c r="E30" s="16" t="n">
        <f aca="false">C30*D30</f>
        <v>90000</v>
      </c>
    </row>
    <row r="31" customFormat="false" ht="15" hidden="false" customHeight="false" outlineLevel="0" collapsed="false">
      <c r="A31" s="14" t="s">
        <v>24</v>
      </c>
      <c r="B31" s="15" t="s">
        <v>21</v>
      </c>
      <c r="C31" s="16" t="n">
        <v>13</v>
      </c>
      <c r="D31" s="16" t="n">
        <v>12000</v>
      </c>
      <c r="E31" s="16" t="n">
        <f aca="false">C31*D31</f>
        <v>156000</v>
      </c>
    </row>
    <row r="32" customFormat="false" ht="15" hidden="false" customHeight="false" outlineLevel="0" collapsed="false">
      <c r="A32" s="14" t="s">
        <v>25</v>
      </c>
      <c r="B32" s="15" t="s">
        <v>19</v>
      </c>
      <c r="C32" s="16" t="n">
        <v>35</v>
      </c>
      <c r="D32" s="16" t="n">
        <v>18000</v>
      </c>
      <c r="E32" s="16" t="n">
        <f aca="false">C32*D32</f>
        <v>630000</v>
      </c>
    </row>
    <row r="33" customFormat="false" ht="15" hidden="false" customHeight="false" outlineLevel="0" collapsed="false">
      <c r="A33" s="14" t="s">
        <v>25</v>
      </c>
      <c r="B33" s="15" t="s">
        <v>20</v>
      </c>
      <c r="C33" s="16" t="n">
        <v>34</v>
      </c>
      <c r="D33" s="16" t="n">
        <v>9000</v>
      </c>
      <c r="E33" s="16" t="n">
        <f aca="false">C33*D33</f>
        <v>306000</v>
      </c>
    </row>
    <row r="34" customFormat="false" ht="15" hidden="false" customHeight="false" outlineLevel="0" collapsed="false">
      <c r="A34" s="14" t="s">
        <v>25</v>
      </c>
      <c r="B34" s="15" t="s">
        <v>21</v>
      </c>
      <c r="C34" s="16" t="n">
        <v>12</v>
      </c>
      <c r="D34" s="16" t="n">
        <v>12000</v>
      </c>
      <c r="E34" s="16" t="n">
        <f aca="false">C34*D34</f>
        <v>144000</v>
      </c>
    </row>
    <row r="35" customFormat="false" ht="15" hidden="false" customHeight="false" outlineLevel="0" collapsed="false">
      <c r="A35" s="17" t="s">
        <v>26</v>
      </c>
      <c r="B35" s="18"/>
      <c r="C35" s="19" t="n">
        <f aca="false">SUM(C20:C34)</f>
        <v>322</v>
      </c>
      <c r="D35" s="18"/>
      <c r="E35" s="19" t="n">
        <f aca="false">SUM(E20:E34)</f>
        <v>4368000</v>
      </c>
    </row>
    <row r="36" customFormat="false" ht="15" hidden="false" customHeight="false" outlineLevel="0" collapsed="false">
      <c r="A36" s="12" t="s">
        <v>27</v>
      </c>
    </row>
    <row r="37" customFormat="false" ht="15" hidden="false" customHeight="false" outlineLevel="0" collapsed="false">
      <c r="A37" s="13" t="s">
        <v>15</v>
      </c>
      <c r="B37" s="13" t="s">
        <v>16</v>
      </c>
      <c r="C37" s="13" t="s">
        <v>13</v>
      </c>
    </row>
    <row r="38" customFormat="false" ht="15" hidden="false" customHeight="false" outlineLevel="0" collapsed="false">
      <c r="A38" s="15" t="s">
        <v>19</v>
      </c>
      <c r="B38" s="16" t="n">
        <f aca="false">SUMIF($B$20:$B$34,A38,$C$20:$C$34)</f>
        <v>126</v>
      </c>
      <c r="C38" s="16" t="n">
        <f aca="false">SUMIF($B$20:$B$34,A38,$E$20:$E$34)</f>
        <v>2268000</v>
      </c>
    </row>
    <row r="39" customFormat="false" ht="15" hidden="false" customHeight="false" outlineLevel="0" collapsed="false">
      <c r="A39" s="15" t="s">
        <v>20</v>
      </c>
      <c r="B39" s="16" t="n">
        <f aca="false">SUMIF($B$20:$B$34,A39,$C$20:$C$34)</f>
        <v>84</v>
      </c>
      <c r="C39" s="16" t="n">
        <f aca="false">SUMIF($B$20:$B$34,A39,$E$20:$E$34)</f>
        <v>756000</v>
      </c>
    </row>
    <row r="40" customFormat="false" ht="15" hidden="false" customHeight="false" outlineLevel="0" collapsed="false">
      <c r="A40" s="15" t="s">
        <v>21</v>
      </c>
      <c r="B40" s="16" t="n">
        <f aca="false">SUMIF($B$20:$B$34,A40,$C$20:$C$34)</f>
        <v>112</v>
      </c>
      <c r="C40" s="16" t="n">
        <f aca="false">SUMIF($B$20:$B$34,A40,$E$20:$E$34)</f>
        <v>1344000</v>
      </c>
    </row>
    <row r="41" customFormat="false" ht="15" hidden="false" customHeight="false" outlineLevel="0" collapsed="false">
      <c r="A41" s="17" t="s">
        <v>26</v>
      </c>
      <c r="B41" s="19" t="n">
        <f aca="false">SUM(B38:B40)</f>
        <v>322</v>
      </c>
      <c r="C41" s="19" t="n">
        <f aca="false">SUM(C38:C40)</f>
        <v>4368000</v>
      </c>
    </row>
    <row r="42" customFormat="false" ht="15" hidden="false" customHeight="false" outlineLevel="0" collapsed="false">
      <c r="A42" s="12" t="s">
        <v>28</v>
      </c>
    </row>
    <row r="43" customFormat="false" ht="15" hidden="false" customHeight="false" outlineLevel="0" collapsed="false">
      <c r="A43" s="13" t="s">
        <v>14</v>
      </c>
      <c r="B43" s="13" t="s">
        <v>29</v>
      </c>
      <c r="C43" s="13" t="s">
        <v>30</v>
      </c>
      <c r="D43" s="13" t="s">
        <v>31</v>
      </c>
    </row>
    <row r="44" customFormat="false" ht="15" hidden="false" customHeight="false" outlineLevel="0" collapsed="false">
      <c r="A44" s="14" t="s">
        <v>18</v>
      </c>
      <c r="B44" s="15" t="s">
        <v>32</v>
      </c>
      <c r="C44" s="16" t="n">
        <v>3</v>
      </c>
      <c r="D44" s="16" t="n">
        <v>3</v>
      </c>
    </row>
    <row r="45" customFormat="false" ht="15" hidden="false" customHeight="false" outlineLevel="0" collapsed="false">
      <c r="A45" s="14" t="s">
        <v>18</v>
      </c>
      <c r="B45" s="15" t="s">
        <v>33</v>
      </c>
      <c r="C45" s="16" t="n">
        <v>8</v>
      </c>
      <c r="D45" s="16" t="n">
        <v>7</v>
      </c>
    </row>
    <row r="46" customFormat="false" ht="15" hidden="false" customHeight="false" outlineLevel="0" collapsed="false">
      <c r="A46" s="14" t="s">
        <v>18</v>
      </c>
      <c r="B46" s="15" t="s">
        <v>34</v>
      </c>
      <c r="C46" s="16" t="n">
        <v>0</v>
      </c>
      <c r="D46" s="16" t="n">
        <v>0</v>
      </c>
    </row>
    <row r="47" customFormat="false" ht="15" hidden="false" customHeight="false" outlineLevel="0" collapsed="false">
      <c r="A47" s="14" t="s">
        <v>18</v>
      </c>
      <c r="B47" s="15" t="s">
        <v>35</v>
      </c>
      <c r="C47" s="16" t="n">
        <v>3</v>
      </c>
      <c r="D47" s="16" t="n">
        <v>1</v>
      </c>
    </row>
    <row r="48" customFormat="false" ht="15" hidden="false" customHeight="false" outlineLevel="0" collapsed="false">
      <c r="A48" s="14" t="s">
        <v>22</v>
      </c>
      <c r="B48" s="15" t="s">
        <v>32</v>
      </c>
      <c r="C48" s="16" t="n">
        <v>9</v>
      </c>
      <c r="D48" s="16" t="n">
        <v>9</v>
      </c>
    </row>
    <row r="49" customFormat="false" ht="15" hidden="false" customHeight="false" outlineLevel="0" collapsed="false">
      <c r="A49" s="14" t="s">
        <v>22</v>
      </c>
      <c r="B49" s="15" t="s">
        <v>33</v>
      </c>
      <c r="C49" s="16" t="n">
        <v>9</v>
      </c>
      <c r="D49" s="16" t="n">
        <v>7</v>
      </c>
    </row>
    <row r="50" customFormat="false" ht="15" hidden="false" customHeight="false" outlineLevel="0" collapsed="false">
      <c r="A50" s="14" t="s">
        <v>22</v>
      </c>
      <c r="B50" s="15" t="s">
        <v>34</v>
      </c>
      <c r="C50" s="16" t="n">
        <v>6</v>
      </c>
      <c r="D50" s="16" t="n">
        <v>6</v>
      </c>
    </row>
    <row r="51" customFormat="false" ht="15" hidden="false" customHeight="false" outlineLevel="0" collapsed="false">
      <c r="A51" s="14" t="s">
        <v>22</v>
      </c>
      <c r="B51" s="15" t="s">
        <v>35</v>
      </c>
      <c r="C51" s="16" t="n">
        <v>3</v>
      </c>
      <c r="D51" s="16" t="n">
        <v>3</v>
      </c>
    </row>
    <row r="52" customFormat="false" ht="15" hidden="false" customHeight="false" outlineLevel="0" collapsed="false">
      <c r="A52" s="14" t="s">
        <v>23</v>
      </c>
      <c r="B52" s="15" t="s">
        <v>32</v>
      </c>
      <c r="C52" s="16" t="n">
        <v>8</v>
      </c>
      <c r="D52" s="16" t="n">
        <v>8</v>
      </c>
    </row>
    <row r="53" customFormat="false" ht="15" hidden="false" customHeight="false" outlineLevel="0" collapsed="false">
      <c r="A53" s="14" t="s">
        <v>23</v>
      </c>
      <c r="B53" s="15" t="s">
        <v>33</v>
      </c>
      <c r="C53" s="16" t="n">
        <v>4</v>
      </c>
      <c r="D53" s="16" t="n">
        <v>3</v>
      </c>
    </row>
    <row r="54" customFormat="false" ht="15" hidden="false" customHeight="false" outlineLevel="0" collapsed="false">
      <c r="A54" s="14" t="s">
        <v>23</v>
      </c>
      <c r="B54" s="15" t="s">
        <v>34</v>
      </c>
      <c r="C54" s="16" t="n">
        <v>2</v>
      </c>
      <c r="D54" s="16" t="n">
        <v>0</v>
      </c>
    </row>
    <row r="55" customFormat="false" ht="15" hidden="false" customHeight="false" outlineLevel="0" collapsed="false">
      <c r="A55" s="14" t="s">
        <v>23</v>
      </c>
      <c r="B55" s="15" t="s">
        <v>35</v>
      </c>
      <c r="C55" s="16" t="n">
        <v>1</v>
      </c>
      <c r="D55" s="16" t="n">
        <v>0</v>
      </c>
    </row>
    <row r="56" customFormat="false" ht="15" hidden="false" customHeight="false" outlineLevel="0" collapsed="false">
      <c r="A56" s="14" t="s">
        <v>24</v>
      </c>
      <c r="B56" s="15" t="s">
        <v>32</v>
      </c>
      <c r="C56" s="16" t="n">
        <v>8</v>
      </c>
      <c r="D56" s="16" t="n">
        <v>6</v>
      </c>
    </row>
    <row r="57" customFormat="false" ht="15" hidden="false" customHeight="false" outlineLevel="0" collapsed="false">
      <c r="A57" s="14" t="s">
        <v>24</v>
      </c>
      <c r="B57" s="15" t="s">
        <v>33</v>
      </c>
      <c r="C57" s="16" t="n">
        <v>2</v>
      </c>
      <c r="D57" s="16" t="n">
        <v>2</v>
      </c>
    </row>
    <row r="58" customFormat="false" ht="15" hidden="false" customHeight="false" outlineLevel="0" collapsed="false">
      <c r="A58" s="14" t="s">
        <v>24</v>
      </c>
      <c r="B58" s="15" t="s">
        <v>34</v>
      </c>
      <c r="C58" s="16" t="n">
        <v>9</v>
      </c>
      <c r="D58" s="16" t="n">
        <v>7</v>
      </c>
    </row>
    <row r="59" customFormat="false" ht="15" hidden="false" customHeight="false" outlineLevel="0" collapsed="false">
      <c r="A59" s="14" t="s">
        <v>24</v>
      </c>
      <c r="B59" s="15" t="s">
        <v>35</v>
      </c>
      <c r="C59" s="16" t="n">
        <v>3</v>
      </c>
      <c r="D59" s="16" t="n">
        <v>2</v>
      </c>
    </row>
    <row r="60" customFormat="false" ht="15" hidden="false" customHeight="false" outlineLevel="0" collapsed="false">
      <c r="A60" s="14" t="s">
        <v>25</v>
      </c>
      <c r="B60" s="15" t="s">
        <v>32</v>
      </c>
      <c r="C60" s="16" t="n">
        <v>1</v>
      </c>
      <c r="D60" s="16" t="n">
        <v>1</v>
      </c>
    </row>
    <row r="61" customFormat="false" ht="15" hidden="false" customHeight="false" outlineLevel="0" collapsed="false">
      <c r="A61" s="14" t="s">
        <v>25</v>
      </c>
      <c r="B61" s="15" t="s">
        <v>33</v>
      </c>
      <c r="C61" s="16" t="n">
        <v>9</v>
      </c>
      <c r="D61" s="16" t="n">
        <v>9</v>
      </c>
    </row>
    <row r="62" customFormat="false" ht="15" hidden="false" customHeight="false" outlineLevel="0" collapsed="false">
      <c r="A62" s="14" t="s">
        <v>25</v>
      </c>
      <c r="B62" s="15" t="s">
        <v>34</v>
      </c>
      <c r="C62" s="16" t="n">
        <v>9</v>
      </c>
      <c r="D62" s="16" t="n">
        <v>9</v>
      </c>
    </row>
    <row r="63" customFormat="false" ht="15" hidden="false" customHeight="false" outlineLevel="0" collapsed="false">
      <c r="A63" s="14" t="s">
        <v>25</v>
      </c>
      <c r="B63" s="15" t="s">
        <v>35</v>
      </c>
      <c r="C63" s="16" t="n">
        <v>7</v>
      </c>
      <c r="D63" s="16" t="n">
        <v>5</v>
      </c>
    </row>
    <row r="64" customFormat="false" ht="15" hidden="false" customHeight="false" outlineLevel="0" collapsed="false">
      <c r="A64" s="17" t="s">
        <v>26</v>
      </c>
      <c r="B64" s="18"/>
      <c r="C64" s="19" t="n">
        <f aca="false">SUM(C44:C63)</f>
        <v>104</v>
      </c>
      <c r="D64" s="19" t="n">
        <f aca="false">SUM(D44:D63)</f>
        <v>88</v>
      </c>
    </row>
    <row r="65" customFormat="false" ht="15" hidden="false" customHeight="false" outlineLevel="0" collapsed="false">
      <c r="A65" s="12" t="s">
        <v>36</v>
      </c>
    </row>
    <row r="66" customFormat="false" ht="15" hidden="false" customHeight="false" outlineLevel="0" collapsed="false">
      <c r="A66" s="13" t="s">
        <v>29</v>
      </c>
      <c r="B66" s="13" t="s">
        <v>30</v>
      </c>
      <c r="C66" s="13" t="s">
        <v>31</v>
      </c>
      <c r="D66" s="13" t="s">
        <v>37</v>
      </c>
    </row>
    <row r="67" customFormat="false" ht="15" hidden="false" customHeight="false" outlineLevel="0" collapsed="false">
      <c r="A67" s="15" t="s">
        <v>32</v>
      </c>
      <c r="B67" s="16" t="n">
        <f aca="false">SUMIF($B$44:$B$63,A67,$C$44:$C$63)</f>
        <v>29</v>
      </c>
      <c r="C67" s="16" t="n">
        <f aca="false">SUMIF($B$44:$B$63,A67,$D$44:$D$63)</f>
        <v>27</v>
      </c>
      <c r="D67" s="16" t="n">
        <f aca="false">B67-C67</f>
        <v>2</v>
      </c>
    </row>
    <row r="68" customFormat="false" ht="15" hidden="false" customHeight="false" outlineLevel="0" collapsed="false">
      <c r="A68" s="15" t="s">
        <v>33</v>
      </c>
      <c r="B68" s="16" t="n">
        <f aca="false">SUMIF($B$44:$B$63,A68,$C$44:$C$63)</f>
        <v>32</v>
      </c>
      <c r="C68" s="16" t="n">
        <f aca="false">SUMIF($B$44:$B$63,A68,$D$44:$D$63)</f>
        <v>28</v>
      </c>
      <c r="D68" s="16" t="n">
        <f aca="false">B68-C68</f>
        <v>4</v>
      </c>
    </row>
    <row r="69" customFormat="false" ht="15" hidden="false" customHeight="false" outlineLevel="0" collapsed="false">
      <c r="A69" s="15" t="s">
        <v>34</v>
      </c>
      <c r="B69" s="16" t="n">
        <f aca="false">SUMIF($B$44:$B$63,A69,$C$44:$C$63)</f>
        <v>26</v>
      </c>
      <c r="C69" s="16" t="n">
        <f aca="false">SUMIF($B$44:$B$63,A69,$D$44:$D$63)</f>
        <v>22</v>
      </c>
      <c r="D69" s="16" t="n">
        <f aca="false">B69-C69</f>
        <v>4</v>
      </c>
    </row>
    <row r="70" customFormat="false" ht="15" hidden="false" customHeight="false" outlineLevel="0" collapsed="false">
      <c r="A70" s="15" t="s">
        <v>35</v>
      </c>
      <c r="B70" s="16" t="n">
        <f aca="false">SUMIF($B$44:$B$63,A70,$C$44:$C$63)</f>
        <v>17</v>
      </c>
      <c r="C70" s="16" t="n">
        <f aca="false">SUMIF($B$44:$B$63,A70,$D$44:$D$63)</f>
        <v>11</v>
      </c>
      <c r="D70" s="16" t="n">
        <f aca="false">B70-C70</f>
        <v>6</v>
      </c>
    </row>
    <row r="71" customFormat="false" ht="15" hidden="false" customHeight="false" outlineLevel="0" collapsed="false">
      <c r="A71" s="17" t="s">
        <v>26</v>
      </c>
      <c r="B71" s="19" t="n">
        <f aca="false">SUM(B67:B70)</f>
        <v>104</v>
      </c>
      <c r="C71" s="19" t="n">
        <f aca="false">SUM(C67:C70)</f>
        <v>88</v>
      </c>
      <c r="D71" s="19" t="n">
        <f aca="false">SUM(D67:D70)</f>
        <v>16</v>
      </c>
    </row>
    <row r="72" customFormat="false" ht="15" hidden="false" customHeight="false" outlineLevel="0" collapsed="false">
      <c r="A72" s="12" t="s">
        <v>5</v>
      </c>
    </row>
    <row r="73" customFormat="false" ht="15" hidden="false" customHeight="false" outlineLevel="0" collapsed="false">
      <c r="A73" s="13" t="s">
        <v>5</v>
      </c>
      <c r="B73" s="13" t="s">
        <v>6</v>
      </c>
      <c r="C73" s="13" t="s">
        <v>7</v>
      </c>
      <c r="D73" s="13" t="s">
        <v>8</v>
      </c>
    </row>
    <row r="74" customFormat="false" ht="15" hidden="false" customHeight="false" outlineLevel="0" collapsed="false">
      <c r="A74" s="15" t="s">
        <v>38</v>
      </c>
      <c r="B74" s="20" t="s">
        <v>39</v>
      </c>
      <c r="C74" s="20" t="s">
        <v>40</v>
      </c>
      <c r="D74" s="14" t="s">
        <v>41</v>
      </c>
    </row>
    <row r="75" customFormat="false" ht="15" hidden="false" customHeight="false" outlineLevel="0" collapsed="false">
      <c r="A75" s="15" t="s">
        <v>42</v>
      </c>
      <c r="B75" s="20" t="s">
        <v>43</v>
      </c>
      <c r="C75" s="20" t="s">
        <v>44</v>
      </c>
      <c r="D75" s="14" t="s">
        <v>45</v>
      </c>
    </row>
    <row r="76" customFormat="false" ht="15" hidden="false" customHeight="false" outlineLevel="0" collapsed="false">
      <c r="A76" s="15" t="s">
        <v>46</v>
      </c>
      <c r="B76" s="20" t="s">
        <v>47</v>
      </c>
      <c r="C76" s="20" t="s">
        <v>44</v>
      </c>
      <c r="D76" s="14" t="s">
        <v>48</v>
      </c>
    </row>
    <row r="77" customFormat="false" ht="15" hidden="false" customHeight="false" outlineLevel="0" collapsed="false">
      <c r="A77" s="15" t="s">
        <v>49</v>
      </c>
      <c r="B77" s="20" t="s">
        <v>50</v>
      </c>
      <c r="C77" s="20" t="s">
        <v>51</v>
      </c>
      <c r="D77" s="14" t="s">
        <v>52</v>
      </c>
    </row>
    <row r="78" customFormat="false" ht="15" hidden="false" customHeight="false" outlineLevel="0" collapsed="false">
      <c r="A78" s="21" t="s">
        <v>53</v>
      </c>
      <c r="B78" s="20" t="s">
        <v>39</v>
      </c>
      <c r="C78" s="20" t="s">
        <v>40</v>
      </c>
      <c r="D78" s="14" t="s">
        <v>54</v>
      </c>
    </row>
    <row r="79" customFormat="false" ht="15" hidden="false" customHeight="false" outlineLevel="0" collapsed="false">
      <c r="A79" s="17" t="s">
        <v>26</v>
      </c>
      <c r="B79" s="17" t="str">
        <f aca="false">COUNTA(A74:A78)&amp;"건"</f>
        <v>5건</v>
      </c>
      <c r="C79" s="22"/>
      <c r="D79" s="22"/>
    </row>
  </sheetData>
  <mergeCells count="3">
    <mergeCell ref="A5:F5"/>
    <mergeCell ref="A6:F6"/>
    <mergeCell ref="A7:F7"/>
  </mergeCells>
  <conditionalFormatting sqref="E11:E13">
    <cfRule type="cellIs" priority="2" operator="equal" aboveAverage="0" equalAverage="0" bottom="0" percent="0" rank="0" text="" dxfId="0">
      <formula>"마감 경과"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6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2026-10-20T05:52:31Z</dcterms:created>
  <dc:creator>openpyxl</dc:creator>
  <dc:description/>
  <dc:language>en-US</dc:language>
  <cp:lastModifiedBy/>
  <dcterms:modified xsi:type="dcterms:W3CDTF">2026-10-20T05:52:31Z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